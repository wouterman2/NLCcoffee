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D:\RMB Holland bv\Products\80482201 Next Level Coffee machine\Software\"/>
    </mc:Choice>
  </mc:AlternateContent>
  <xr:revisionPtr revIDLastSave="0" documentId="13_ncr:1_{41443CFA-67B0-4CA2-887A-0C4AB3A9A88F}" xr6:coauthVersionLast="47" xr6:coauthVersionMax="47" xr10:uidLastSave="{00000000-0000-0000-0000-000000000000}"/>
  <bookViews>
    <workbookView xWindow="28680" yWindow="-120" windowWidth="29040" windowHeight="15720" firstSheet="2" activeTab="9" xr2:uid="{F16A25BB-08EB-429D-9F0E-B15F2D14F299}"/>
  </bookViews>
  <sheets>
    <sheet name="Revisions" sheetId="16" r:id="rId1"/>
    <sheet name="parameters recipe" sheetId="1" r:id="rId2"/>
    <sheet name="ProcessData" sheetId="21" r:id="rId3"/>
    <sheet name="PhysicalData" sheetId="22" r:id="rId4"/>
    <sheet name="DeviceData" sheetId="23" r:id="rId5"/>
    <sheet name="AllData" sheetId="24" r:id="rId6"/>
    <sheet name="parameters RFID" sheetId="27" r:id="rId7"/>
    <sheet name="STATUS enum" sheetId="25" r:id="rId8"/>
    <sheet name="RECIPESTATUS enum" sheetId="26" r:id="rId9"/>
    <sheet name="parameters machine" sheetId="4" r:id="rId10"/>
    <sheet name="parameters LED" sheetId="19" r:id="rId11"/>
    <sheet name="parameters dummymode" sheetId="28" r:id="rId12"/>
    <sheet name="parameters partition" sheetId="29" r:id="rId13"/>
    <sheet name="Recipe template" sheetId="8" r:id="rId14"/>
    <sheet name="Command template" sheetId="15" r:id="rId15"/>
    <sheet name="Example Coffee 1" sheetId="9" r:id="rId16"/>
    <sheet name="Example Coffee 2" sheetId="12" r:id="rId17"/>
    <sheet name="Example Milk" sheetId="10" r:id="rId18"/>
    <sheet name="Example Water" sheetId="17" r:id="rId19"/>
    <sheet name="Example commands" sheetId="14" r:id="rId20"/>
    <sheet name="Recipe definition RFID" sheetId="18" r:id="rId21"/>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4" l="1"/>
  <c r="D4" i="4"/>
  <c r="F13" i="23"/>
  <c r="F12" i="23"/>
  <c r="F11" i="23"/>
  <c r="D22" i="19"/>
  <c r="E22" i="19" s="1"/>
  <c r="G21" i="19"/>
  <c r="C5" i="29"/>
  <c r="D4" i="29"/>
  <c r="C13" i="28"/>
  <c r="C11" i="28"/>
  <c r="C9" i="28"/>
  <c r="C7" i="28"/>
  <c r="C5" i="28"/>
  <c r="D4" i="28"/>
  <c r="D4" i="27"/>
  <c r="C4" i="27"/>
  <c r="H62" i="27"/>
  <c r="F62" i="27"/>
  <c r="C62" i="27"/>
  <c r="B62" i="27"/>
  <c r="H61" i="27"/>
  <c r="F61" i="27"/>
  <c r="C61" i="27"/>
  <c r="B61" i="27"/>
  <c r="H60" i="27"/>
  <c r="F60" i="27"/>
  <c r="C60" i="27"/>
  <c r="B60" i="27"/>
  <c r="H59" i="27"/>
  <c r="F59" i="27"/>
  <c r="C59" i="27"/>
  <c r="B59" i="27"/>
  <c r="H58" i="27"/>
  <c r="F58" i="27"/>
  <c r="C58" i="27"/>
  <c r="B58" i="27"/>
  <c r="H57" i="27"/>
  <c r="F57" i="27"/>
  <c r="C57" i="27"/>
  <c r="B57" i="27"/>
  <c r="H56" i="27"/>
  <c r="F56" i="27"/>
  <c r="C56" i="27"/>
  <c r="B56" i="27"/>
  <c r="H55" i="27"/>
  <c r="F55" i="27"/>
  <c r="C55" i="27"/>
  <c r="B55" i="27"/>
  <c r="H54" i="27"/>
  <c r="F54" i="27"/>
  <c r="C54" i="27"/>
  <c r="B54" i="27"/>
  <c r="H53" i="27"/>
  <c r="F53" i="27"/>
  <c r="C53" i="27"/>
  <c r="B53" i="27"/>
  <c r="H52" i="27"/>
  <c r="F52" i="27"/>
  <c r="C52" i="27"/>
  <c r="B52" i="27"/>
  <c r="H51" i="27"/>
  <c r="F51" i="27"/>
  <c r="C51" i="27"/>
  <c r="B51" i="27"/>
  <c r="H50" i="27"/>
  <c r="F50" i="27"/>
  <c r="C50" i="27"/>
  <c r="B50" i="27"/>
  <c r="H27" i="27"/>
  <c r="F27" i="27"/>
  <c r="C27" i="27"/>
  <c r="B27" i="27"/>
  <c r="H26" i="27"/>
  <c r="F26" i="27"/>
  <c r="C26" i="27"/>
  <c r="B26" i="27"/>
  <c r="H25" i="27"/>
  <c r="F25" i="27"/>
  <c r="C25" i="27"/>
  <c r="B25" i="27"/>
  <c r="H24" i="27"/>
  <c r="F24" i="27"/>
  <c r="C24" i="27"/>
  <c r="B24" i="27"/>
  <c r="H23" i="27"/>
  <c r="F23" i="27"/>
  <c r="C23" i="27"/>
  <c r="B23" i="27"/>
  <c r="H22" i="27"/>
  <c r="F22" i="27"/>
  <c r="C22" i="27"/>
  <c r="B22" i="27"/>
  <c r="H21" i="27"/>
  <c r="F21" i="27"/>
  <c r="C21" i="27"/>
  <c r="B21" i="27"/>
  <c r="H20" i="27"/>
  <c r="F20" i="27"/>
  <c r="C20" i="27"/>
  <c r="B20" i="27"/>
  <c r="H19" i="27"/>
  <c r="F19" i="27"/>
  <c r="C19" i="27"/>
  <c r="B19" i="27"/>
  <c r="H18" i="27"/>
  <c r="F18" i="27"/>
  <c r="C18" i="27"/>
  <c r="B18" i="27"/>
  <c r="H17" i="27"/>
  <c r="F17" i="27"/>
  <c r="C17" i="27"/>
  <c r="B17" i="27"/>
  <c r="H16" i="27"/>
  <c r="F16" i="27"/>
  <c r="C16" i="27"/>
  <c r="B16" i="27"/>
  <c r="H15" i="27"/>
  <c r="F15" i="27"/>
  <c r="C15" i="27"/>
  <c r="B15" i="27"/>
  <c r="H14" i="27"/>
  <c r="F14" i="27"/>
  <c r="C14" i="27"/>
  <c r="B14" i="27"/>
  <c r="H13" i="27"/>
  <c r="F13" i="27"/>
  <c r="C13" i="27"/>
  <c r="B13" i="27"/>
  <c r="H12" i="27"/>
  <c r="F12" i="27"/>
  <c r="C12" i="27"/>
  <c r="B12" i="27"/>
  <c r="H11" i="27"/>
  <c r="F11" i="27"/>
  <c r="C11" i="27"/>
  <c r="B11" i="27"/>
  <c r="H10" i="27"/>
  <c r="F10" i="27"/>
  <c r="C10" i="27"/>
  <c r="B10" i="27"/>
  <c r="H9" i="27"/>
  <c r="F9" i="27"/>
  <c r="C9" i="27"/>
  <c r="B9" i="27"/>
  <c r="H8" i="27"/>
  <c r="F8" i="27"/>
  <c r="C8" i="27"/>
  <c r="B8" i="27"/>
  <c r="H7" i="27"/>
  <c r="F7" i="27"/>
  <c r="C7" i="27"/>
  <c r="B7" i="27"/>
  <c r="H6" i="27"/>
  <c r="F6" i="27"/>
  <c r="C6" i="27"/>
  <c r="B6" i="27"/>
  <c r="H29" i="27"/>
  <c r="F29" i="27"/>
  <c r="C29" i="27"/>
  <c r="B29" i="27"/>
  <c r="H28" i="27"/>
  <c r="F28" i="27"/>
  <c r="C28" i="27"/>
  <c r="B28" i="27"/>
  <c r="H31" i="27"/>
  <c r="F31" i="27"/>
  <c r="C31" i="27"/>
  <c r="B31" i="27"/>
  <c r="H30" i="27"/>
  <c r="F30" i="27"/>
  <c r="C30" i="27"/>
  <c r="B30" i="27"/>
  <c r="H33" i="27"/>
  <c r="F33" i="27"/>
  <c r="C33" i="27"/>
  <c r="B33" i="27"/>
  <c r="H32" i="27"/>
  <c r="F32" i="27"/>
  <c r="C32" i="27"/>
  <c r="B32" i="27"/>
  <c r="H35" i="27"/>
  <c r="F35" i="27"/>
  <c r="C35" i="27"/>
  <c r="B35" i="27"/>
  <c r="H34" i="27"/>
  <c r="F34" i="27"/>
  <c r="C34" i="27"/>
  <c r="B34" i="27"/>
  <c r="H37" i="27"/>
  <c r="F37" i="27"/>
  <c r="C37" i="27"/>
  <c r="B37" i="27"/>
  <c r="H36" i="27"/>
  <c r="F36" i="27"/>
  <c r="C36" i="27"/>
  <c r="B36" i="27"/>
  <c r="H39" i="27"/>
  <c r="F39" i="27"/>
  <c r="C39" i="27"/>
  <c r="B39" i="27"/>
  <c r="H38" i="27"/>
  <c r="F38" i="27"/>
  <c r="C38" i="27"/>
  <c r="B38" i="27"/>
  <c r="H41" i="27"/>
  <c r="F41" i="27"/>
  <c r="C41" i="27"/>
  <c r="B41" i="27"/>
  <c r="H40" i="27"/>
  <c r="F40" i="27"/>
  <c r="C40" i="27"/>
  <c r="B40" i="27"/>
  <c r="H43" i="27"/>
  <c r="F43" i="27"/>
  <c r="C43" i="27"/>
  <c r="B43" i="27"/>
  <c r="H42" i="27"/>
  <c r="F42" i="27"/>
  <c r="C42" i="27"/>
  <c r="B42" i="27"/>
  <c r="H45" i="27"/>
  <c r="F45" i="27"/>
  <c r="C45" i="27"/>
  <c r="B45" i="27"/>
  <c r="H44" i="27"/>
  <c r="F44" i="27"/>
  <c r="C44" i="27"/>
  <c r="B44" i="27"/>
  <c r="H47" i="27"/>
  <c r="F47" i="27"/>
  <c r="C47" i="27"/>
  <c r="B47" i="27"/>
  <c r="H46" i="27"/>
  <c r="F46" i="27"/>
  <c r="C46" i="27"/>
  <c r="B46" i="27"/>
  <c r="H48" i="27"/>
  <c r="H49" i="27"/>
  <c r="H5" i="27"/>
  <c r="B5" i="27"/>
  <c r="B48" i="27"/>
  <c r="B49" i="27"/>
  <c r="F5" i="27"/>
  <c r="C5" i="27"/>
  <c r="F48" i="27"/>
  <c r="C48" i="27"/>
  <c r="F49" i="27"/>
  <c r="C49" i="27"/>
  <c r="C4" i="29" l="1"/>
  <c r="C4" i="28"/>
  <c r="F54" i="24"/>
  <c r="F53" i="24"/>
  <c r="F52" i="24"/>
  <c r="F51" i="24"/>
  <c r="F50" i="24"/>
  <c r="F49" i="24"/>
  <c r="F47" i="24"/>
  <c r="F44" i="24"/>
  <c r="F41" i="24"/>
  <c r="I34" i="24"/>
  <c r="I35" i="24" s="1"/>
  <c r="I36" i="24" s="1"/>
  <c r="I37" i="24" s="1"/>
  <c r="I38" i="24" s="1"/>
  <c r="I39" i="24" s="1"/>
  <c r="I40" i="24" s="1"/>
  <c r="F33" i="24"/>
  <c r="F32" i="24"/>
  <c r="F31" i="24"/>
  <c r="F30" i="24"/>
  <c r="F29" i="24"/>
  <c r="F28" i="24"/>
  <c r="F27" i="24"/>
  <c r="F26" i="24"/>
  <c r="F25" i="24"/>
  <c r="F24" i="24"/>
  <c r="F23" i="24"/>
  <c r="F22" i="24"/>
  <c r="F21" i="24"/>
  <c r="F20" i="24"/>
  <c r="F19" i="24"/>
  <c r="F18" i="24"/>
  <c r="F17" i="24"/>
  <c r="F16" i="24"/>
  <c r="F15" i="24"/>
  <c r="F12" i="24"/>
  <c r="F10" i="24"/>
  <c r="F9" i="24"/>
  <c r="F8" i="24"/>
  <c r="F7" i="24"/>
  <c r="F6" i="24"/>
  <c r="F5" i="24"/>
  <c r="F27" i="22"/>
  <c r="F30" i="22"/>
  <c r="F33" i="22"/>
  <c r="F7" i="22"/>
  <c r="F6" i="22"/>
  <c r="F6" i="21"/>
  <c r="F7" i="21"/>
  <c r="F15" i="21" l="1"/>
  <c r="D4" i="21"/>
  <c r="C4" i="21"/>
  <c r="F9" i="21"/>
  <c r="D4" i="24"/>
  <c r="C4" i="24"/>
  <c r="F16" i="21"/>
  <c r="C40" i="1" l="1"/>
  <c r="F33" i="1"/>
  <c r="C33" i="1"/>
  <c r="I97" i="1"/>
  <c r="I98" i="1" s="1"/>
  <c r="I99" i="1" s="1"/>
  <c r="I100" i="1" s="1"/>
  <c r="I101" i="1" s="1"/>
  <c r="I102" i="1" s="1"/>
  <c r="I103" i="1" s="1"/>
  <c r="I104" i="1" s="1"/>
  <c r="I105" i="1" s="1"/>
  <c r="I106" i="1" s="1"/>
  <c r="I107" i="1" s="1"/>
  <c r="I108" i="1" s="1"/>
  <c r="I109" i="1" s="1"/>
  <c r="I110" i="1" s="1"/>
  <c r="I111" i="1" s="1"/>
  <c r="I81" i="1"/>
  <c r="I82" i="1" s="1"/>
  <c r="I83" i="1" s="1"/>
  <c r="I84" i="1" s="1"/>
  <c r="I85" i="1" s="1"/>
  <c r="I86" i="1" s="1"/>
  <c r="I87" i="1" s="1"/>
  <c r="I88" i="1" s="1"/>
  <c r="I89" i="1" s="1"/>
  <c r="I90" i="1" s="1"/>
  <c r="I91" i="1" s="1"/>
  <c r="I92" i="1" s="1"/>
  <c r="I93" i="1" s="1"/>
  <c r="I94" i="1" s="1"/>
  <c r="I95" i="1" s="1"/>
  <c r="I65" i="1"/>
  <c r="I66" i="1" s="1"/>
  <c r="I67" i="1" s="1"/>
  <c r="I68" i="1" s="1"/>
  <c r="I69" i="1" s="1"/>
  <c r="I70" i="1" s="1"/>
  <c r="I71" i="1" s="1"/>
  <c r="I72" i="1" s="1"/>
  <c r="I73" i="1" s="1"/>
  <c r="I74" i="1" s="1"/>
  <c r="I75" i="1" s="1"/>
  <c r="I76" i="1" s="1"/>
  <c r="I77" i="1" s="1"/>
  <c r="I78" i="1" s="1"/>
  <c r="I79" i="1" s="1"/>
  <c r="I49" i="1"/>
  <c r="I50" i="1" s="1"/>
  <c r="I51" i="1" s="1"/>
  <c r="I52" i="1" s="1"/>
  <c r="I53" i="1" s="1"/>
  <c r="I54" i="1" s="1"/>
  <c r="I55" i="1" s="1"/>
  <c r="I56" i="1" s="1"/>
  <c r="I57" i="1" s="1"/>
  <c r="I58" i="1" s="1"/>
  <c r="I59" i="1" s="1"/>
  <c r="I60" i="1" s="1"/>
  <c r="I61" i="1" s="1"/>
  <c r="I62" i="1" s="1"/>
  <c r="I63" i="1" s="1"/>
  <c r="G8" i="19"/>
  <c r="D8" i="19"/>
  <c r="E8" i="19" s="1"/>
  <c r="C64" i="1"/>
  <c r="C80" i="1"/>
  <c r="C96" i="1"/>
  <c r="C48" i="1"/>
  <c r="C44" i="1"/>
  <c r="C39" i="1"/>
  <c r="C23" i="1"/>
  <c r="C7" i="1"/>
  <c r="C9" i="1"/>
  <c r="C11" i="1"/>
  <c r="C13" i="1"/>
  <c r="C15" i="1"/>
  <c r="C17" i="1"/>
  <c r="C19" i="1"/>
  <c r="C20" i="1"/>
  <c r="C21" i="1"/>
  <c r="C22" i="1"/>
  <c r="C5" i="1"/>
  <c r="C4" i="23"/>
  <c r="C4" i="22"/>
  <c r="C4" i="1" l="1"/>
  <c r="F10" i="23"/>
  <c r="F9" i="23"/>
  <c r="F8" i="23"/>
  <c r="F7" i="23"/>
  <c r="F6" i="23"/>
  <c r="F5" i="23"/>
  <c r="D4" i="23"/>
  <c r="I20" i="22"/>
  <c r="I21" i="22" s="1"/>
  <c r="I22" i="22" s="1"/>
  <c r="I23" i="22" s="1"/>
  <c r="I24" i="22" s="1"/>
  <c r="I25" i="22" s="1"/>
  <c r="I26" i="22" s="1"/>
  <c r="F17" i="22"/>
  <c r="F18" i="22"/>
  <c r="F15" i="22"/>
  <c r="F14" i="22"/>
  <c r="F13" i="22"/>
  <c r="F12" i="22"/>
  <c r="F11" i="22"/>
  <c r="F10" i="22"/>
  <c r="F9" i="22"/>
  <c r="F8" i="22"/>
  <c r="F19" i="22"/>
  <c r="F16" i="22"/>
  <c r="F5" i="22"/>
  <c r="D4" i="22"/>
  <c r="F12" i="21" l="1"/>
  <c r="F10" i="21"/>
  <c r="F18" i="21" l="1"/>
  <c r="F17" i="21"/>
  <c r="F8" i="21"/>
  <c r="F5" i="21"/>
  <c r="E5" i="19"/>
  <c r="D14" i="19" s="1"/>
  <c r="E14" i="19" s="1"/>
  <c r="D15" i="19" s="1"/>
  <c r="E15" i="19" s="1"/>
  <c r="D16" i="19" s="1"/>
  <c r="E16" i="19" s="1"/>
  <c r="D17" i="19" s="1"/>
  <c r="E17" i="19" s="1"/>
  <c r="D18" i="19" s="1"/>
  <c r="E18" i="19" s="1"/>
  <c r="D19" i="19" s="1"/>
  <c r="E19" i="19" s="1"/>
  <c r="D20" i="19" s="1"/>
  <c r="E20" i="19" s="1"/>
  <c r="B35" i="14"/>
  <c r="B26" i="14"/>
  <c r="B17" i="14"/>
  <c r="B8" i="14"/>
  <c r="L21" i="17"/>
  <c r="L20" i="17"/>
  <c r="L19" i="17"/>
  <c r="L18" i="17"/>
  <c r="L17" i="17"/>
  <c r="L16" i="17"/>
  <c r="L15" i="17"/>
  <c r="L14" i="17"/>
  <c r="L13" i="17"/>
  <c r="L12" i="17"/>
  <c r="L11" i="17"/>
  <c r="L10" i="17"/>
  <c r="L9" i="17"/>
  <c r="V8" i="17"/>
  <c r="V9" i="17" s="1"/>
  <c r="V10" i="17" s="1"/>
  <c r="V11" i="17" s="1"/>
  <c r="V12" i="17" s="1"/>
  <c r="V13" i="17" s="1"/>
  <c r="V14" i="17" s="1"/>
  <c r="V15" i="17" s="1"/>
  <c r="V16" i="17" s="1"/>
  <c r="V17" i="17" s="1"/>
  <c r="V18" i="17" s="1"/>
  <c r="V19" i="17" s="1"/>
  <c r="V20" i="17" s="1"/>
  <c r="V21" i="17" s="1"/>
  <c r="L8" i="17"/>
  <c r="V7" i="17"/>
  <c r="L7" i="17"/>
  <c r="L21" i="10"/>
  <c r="L20" i="10"/>
  <c r="L19" i="10"/>
  <c r="L18" i="10"/>
  <c r="L17" i="10"/>
  <c r="L16" i="10"/>
  <c r="L15" i="10"/>
  <c r="L14" i="10"/>
  <c r="L13" i="10"/>
  <c r="L12" i="10"/>
  <c r="L11" i="10"/>
  <c r="L10" i="10"/>
  <c r="L9" i="10"/>
  <c r="L8" i="10"/>
  <c r="V7" i="10"/>
  <c r="V8" i="10" s="1"/>
  <c r="V9" i="10" s="1"/>
  <c r="V10" i="10" s="1"/>
  <c r="V11" i="10" s="1"/>
  <c r="V12" i="10" s="1"/>
  <c r="V13" i="10" s="1"/>
  <c r="V14" i="10" s="1"/>
  <c r="V15" i="10" s="1"/>
  <c r="V16" i="10" s="1"/>
  <c r="V17" i="10" s="1"/>
  <c r="V18" i="10" s="1"/>
  <c r="V19" i="10" s="1"/>
  <c r="V20" i="10" s="1"/>
  <c r="V21" i="10" s="1"/>
  <c r="L7" i="10"/>
  <c r="L11" i="12"/>
  <c r="L12" i="12"/>
  <c r="L13" i="12"/>
  <c r="L14" i="12"/>
  <c r="L15" i="12"/>
  <c r="L16" i="12"/>
  <c r="L17" i="12"/>
  <c r="L18" i="12"/>
  <c r="L19" i="12"/>
  <c r="L20" i="12"/>
  <c r="L21" i="12"/>
  <c r="L10" i="9"/>
  <c r="L11" i="9"/>
  <c r="L12" i="9"/>
  <c r="L13" i="9"/>
  <c r="L14" i="9"/>
  <c r="L15" i="9"/>
  <c r="L16" i="9"/>
  <c r="L17" i="9"/>
  <c r="L18" i="9"/>
  <c r="L19" i="9"/>
  <c r="L20" i="9"/>
  <c r="L21" i="9"/>
  <c r="B5" i="15"/>
  <c r="D21" i="19" l="1"/>
  <c r="E21" i="19" s="1"/>
  <c r="C4" i="19"/>
  <c r="G20" i="19"/>
  <c r="G18" i="19"/>
  <c r="G15" i="19"/>
  <c r="G16" i="19"/>
  <c r="G19" i="19"/>
  <c r="G17" i="19"/>
  <c r="G14" i="19"/>
  <c r="G5" i="19"/>
  <c r="B2" i="18" l="1"/>
  <c r="CC59" i="17"/>
  <c r="BU59" i="17"/>
  <c r="BM59" i="17"/>
  <c r="BE59" i="17"/>
  <c r="AW59" i="17"/>
  <c r="AO59" i="17"/>
  <c r="AG59" i="17"/>
  <c r="Y59" i="17"/>
  <c r="M59" i="17"/>
  <c r="CC57" i="17"/>
  <c r="BU57" i="17"/>
  <c r="BM57" i="17"/>
  <c r="BE57" i="17"/>
  <c r="AW57" i="17"/>
  <c r="AO57" i="17"/>
  <c r="AG57" i="17"/>
  <c r="Y57" i="17"/>
  <c r="M57" i="17"/>
  <c r="CC55" i="17"/>
  <c r="BU55" i="17"/>
  <c r="BM55" i="17"/>
  <c r="BE55" i="17"/>
  <c r="AW55" i="17"/>
  <c r="AO55" i="17"/>
  <c r="AG55" i="17"/>
  <c r="Y55" i="17"/>
  <c r="M55" i="17"/>
  <c r="CC53" i="17"/>
  <c r="BU53" i="17"/>
  <c r="BM53" i="17"/>
  <c r="BE53" i="17"/>
  <c r="AW53" i="17"/>
  <c r="AO53" i="17"/>
  <c r="AG53" i="17"/>
  <c r="Y53" i="17"/>
  <c r="M53" i="17"/>
  <c r="CC51" i="17"/>
  <c r="BU51" i="17"/>
  <c r="BM51" i="17"/>
  <c r="BE51" i="17"/>
  <c r="AW51" i="17"/>
  <c r="AO51" i="17"/>
  <c r="AG51" i="17"/>
  <c r="Y51" i="17"/>
  <c r="M51" i="17"/>
  <c r="CC49" i="17"/>
  <c r="BU49" i="17"/>
  <c r="BM49" i="17"/>
  <c r="BE49" i="17"/>
  <c r="AW49" i="17"/>
  <c r="AO49" i="17"/>
  <c r="AG49" i="17"/>
  <c r="Y49" i="17"/>
  <c r="M49" i="17"/>
  <c r="CC47" i="17"/>
  <c r="BU47" i="17"/>
  <c r="BM47" i="17"/>
  <c r="BE47" i="17"/>
  <c r="AW47" i="17"/>
  <c r="AO47" i="17"/>
  <c r="AG47" i="17"/>
  <c r="Y47" i="17"/>
  <c r="M47" i="17"/>
  <c r="CC45" i="17"/>
  <c r="BU45" i="17"/>
  <c r="BM45" i="17"/>
  <c r="BE45" i="17"/>
  <c r="AW45" i="17"/>
  <c r="AO45" i="17"/>
  <c r="AG45" i="17"/>
  <c r="Y45" i="17"/>
  <c r="M45" i="17"/>
  <c r="CC43" i="17"/>
  <c r="BU43" i="17"/>
  <c r="BM43" i="17"/>
  <c r="BE43" i="17"/>
  <c r="AW43" i="17"/>
  <c r="AO43" i="17"/>
  <c r="AG43" i="17"/>
  <c r="Y43" i="17"/>
  <c r="M43" i="17"/>
  <c r="CC41" i="17"/>
  <c r="BU41" i="17"/>
  <c r="BM41" i="17"/>
  <c r="BE41" i="17"/>
  <c r="AW41" i="17"/>
  <c r="AO41" i="17"/>
  <c r="AG41" i="17"/>
  <c r="Y41" i="17"/>
  <c r="M41" i="17"/>
  <c r="CC39" i="17"/>
  <c r="BU39" i="17"/>
  <c r="BM39" i="17"/>
  <c r="BE39" i="17"/>
  <c r="AW39" i="17"/>
  <c r="AO39" i="17"/>
  <c r="AG39" i="17"/>
  <c r="Y39" i="17"/>
  <c r="M39" i="17"/>
  <c r="CC37" i="17"/>
  <c r="BU37" i="17"/>
  <c r="BM37" i="17"/>
  <c r="BE37" i="17"/>
  <c r="AW37" i="17"/>
  <c r="AO37" i="17"/>
  <c r="AG37" i="17"/>
  <c r="Y37" i="17"/>
  <c r="M37" i="17"/>
  <c r="CC35" i="17"/>
  <c r="BU35" i="17"/>
  <c r="BM35" i="17"/>
  <c r="BE35" i="17"/>
  <c r="AW35" i="17"/>
  <c r="AO35" i="17"/>
  <c r="AG35" i="17"/>
  <c r="Y35" i="17"/>
  <c r="M35" i="17"/>
  <c r="CC33" i="17"/>
  <c r="BU33" i="17"/>
  <c r="BM33" i="17"/>
  <c r="BE33" i="17"/>
  <c r="AW33" i="17"/>
  <c r="AO33" i="17"/>
  <c r="AG33" i="17"/>
  <c r="Y33" i="17"/>
  <c r="M33" i="17"/>
  <c r="CC31" i="17"/>
  <c r="BU31" i="17"/>
  <c r="BM31" i="17"/>
  <c r="BE31" i="17"/>
  <c r="AW31" i="17"/>
  <c r="AO31" i="17"/>
  <c r="AG31" i="17"/>
  <c r="Y31" i="17"/>
  <c r="M31" i="17"/>
  <c r="CC29" i="17"/>
  <c r="BU29" i="17"/>
  <c r="BM29" i="17"/>
  <c r="BE29" i="17"/>
  <c r="AW29" i="17"/>
  <c r="AO29" i="17"/>
  <c r="AG29" i="17"/>
  <c r="Y29" i="17"/>
  <c r="M29" i="17"/>
  <c r="C27" i="17"/>
  <c r="BG20" i="17"/>
  <c r="AA20" i="17"/>
  <c r="B33" i="17"/>
  <c r="B31" i="17"/>
  <c r="B57" i="17"/>
  <c r="B29" i="17"/>
  <c r="B51" i="17"/>
  <c r="B49" i="17"/>
  <c r="B53" i="17"/>
  <c r="B59" i="17"/>
  <c r="B37" i="17"/>
  <c r="B39" i="17"/>
  <c r="B55" i="17"/>
  <c r="B41" i="17"/>
  <c r="B43" i="17"/>
  <c r="B47" i="17"/>
  <c r="B35" i="17"/>
  <c r="B45" i="17"/>
  <c r="D27" i="17" l="1"/>
  <c r="C31" i="17"/>
  <c r="C47" i="17"/>
  <c r="C53" i="17"/>
  <c r="C29" i="17"/>
  <c r="C49" i="17"/>
  <c r="C57" i="17"/>
  <c r="C43" i="17"/>
  <c r="C39" i="17"/>
  <c r="C55" i="17"/>
  <c r="C35" i="17"/>
  <c r="C41" i="17"/>
  <c r="C59" i="17"/>
  <c r="C37" i="17"/>
  <c r="C51" i="17"/>
  <c r="C45" i="17"/>
  <c r="C33" i="17"/>
  <c r="E27" i="17" l="1"/>
  <c r="D49" i="17"/>
  <c r="D51" i="17"/>
  <c r="D43" i="17"/>
  <c r="D35" i="17"/>
  <c r="D41" i="17"/>
  <c r="D45" i="17"/>
  <c r="D39" i="17"/>
  <c r="D47" i="17"/>
  <c r="D53" i="17"/>
  <c r="D37" i="17"/>
  <c r="D33" i="17"/>
  <c r="D29" i="17"/>
  <c r="D59" i="17"/>
  <c r="D57" i="17"/>
  <c r="D31" i="17"/>
  <c r="D55" i="17"/>
  <c r="F27" i="17" l="1"/>
  <c r="V7" i="12"/>
  <c r="V8" i="12" s="1"/>
  <c r="L21" i="8"/>
  <c r="L20" i="8"/>
  <c r="L19" i="8"/>
  <c r="L18" i="8"/>
  <c r="L17" i="8"/>
  <c r="L16" i="8"/>
  <c r="L15" i="8"/>
  <c r="L14" i="8"/>
  <c r="L13" i="8"/>
  <c r="L12" i="8"/>
  <c r="L11" i="8"/>
  <c r="L10" i="8"/>
  <c r="L9" i="8"/>
  <c r="L8" i="8"/>
  <c r="U7" i="8"/>
  <c r="U8" i="8" s="1"/>
  <c r="U9" i="8" s="1"/>
  <c r="U10" i="8" s="1"/>
  <c r="U11" i="8" s="1"/>
  <c r="U12" i="8" s="1"/>
  <c r="U13" i="8" s="1"/>
  <c r="U14" i="8" s="1"/>
  <c r="U15" i="8" s="1"/>
  <c r="U16" i="8" s="1"/>
  <c r="U17" i="8" s="1"/>
  <c r="U18" i="8" s="1"/>
  <c r="U19" i="8" s="1"/>
  <c r="U20" i="8" s="1"/>
  <c r="U21" i="8" s="1"/>
  <c r="L7" i="8"/>
  <c r="L6" i="8"/>
  <c r="CC59" i="10"/>
  <c r="BU59" i="10"/>
  <c r="BM59" i="10"/>
  <c r="BE59" i="10"/>
  <c r="CC57" i="10"/>
  <c r="BU57" i="10"/>
  <c r="BM57" i="10"/>
  <c r="BE57" i="10"/>
  <c r="CC55" i="10"/>
  <c r="BU55" i="10"/>
  <c r="BM55" i="10"/>
  <c r="BE55" i="10"/>
  <c r="CC53" i="10"/>
  <c r="BU53" i="10"/>
  <c r="BM53" i="10"/>
  <c r="BE53" i="10"/>
  <c r="CC51" i="10"/>
  <c r="BU51" i="10"/>
  <c r="BM51" i="10"/>
  <c r="BE51" i="10"/>
  <c r="CC49" i="10"/>
  <c r="BU49" i="10"/>
  <c r="BM49" i="10"/>
  <c r="BE49" i="10"/>
  <c r="CC47" i="10"/>
  <c r="BU47" i="10"/>
  <c r="BM47" i="10"/>
  <c r="BE47" i="10"/>
  <c r="CC45" i="10"/>
  <c r="BU45" i="10"/>
  <c r="BM45" i="10"/>
  <c r="BE45" i="10"/>
  <c r="CC43" i="10"/>
  <c r="BU43" i="10"/>
  <c r="BM43" i="10"/>
  <c r="BE43" i="10"/>
  <c r="CC41" i="10"/>
  <c r="BU41" i="10"/>
  <c r="BM41" i="10"/>
  <c r="BE41" i="10"/>
  <c r="CC39" i="10"/>
  <c r="BU39" i="10"/>
  <c r="BM39" i="10"/>
  <c r="BE39" i="10"/>
  <c r="CC37" i="10"/>
  <c r="BU37" i="10"/>
  <c r="BM37" i="10"/>
  <c r="BE37" i="10"/>
  <c r="CC35" i="10"/>
  <c r="BU35" i="10"/>
  <c r="BM35" i="10"/>
  <c r="BE35" i="10"/>
  <c r="CC33" i="10"/>
  <c r="BU33" i="10"/>
  <c r="BM33" i="10"/>
  <c r="BE33" i="10"/>
  <c r="CC31" i="10"/>
  <c r="BU31" i="10"/>
  <c r="BM31" i="10"/>
  <c r="BE31" i="10"/>
  <c r="CC29" i="10"/>
  <c r="BU29" i="10"/>
  <c r="BM29" i="10"/>
  <c r="BE29" i="10"/>
  <c r="BG20" i="10"/>
  <c r="CC59" i="12"/>
  <c r="BU59" i="12"/>
  <c r="BM59" i="12"/>
  <c r="BE59" i="12"/>
  <c r="CC57" i="12"/>
  <c r="BU57" i="12"/>
  <c r="BM57" i="12"/>
  <c r="BE57" i="12"/>
  <c r="CC55" i="12"/>
  <c r="BU55" i="12"/>
  <c r="BM55" i="12"/>
  <c r="BE55" i="12"/>
  <c r="CC53" i="12"/>
  <c r="BU53" i="12"/>
  <c r="BM53" i="12"/>
  <c r="BE53" i="12"/>
  <c r="CC51" i="12"/>
  <c r="BU51" i="12"/>
  <c r="BM51" i="12"/>
  <c r="BE51" i="12"/>
  <c r="CC49" i="12"/>
  <c r="BU49" i="12"/>
  <c r="BM49" i="12"/>
  <c r="BE49" i="12"/>
  <c r="CC47" i="12"/>
  <c r="BU47" i="12"/>
  <c r="BM47" i="12"/>
  <c r="BE47" i="12"/>
  <c r="CC45" i="12"/>
  <c r="BU45" i="12"/>
  <c r="BM45" i="12"/>
  <c r="BE45" i="12"/>
  <c r="CC43" i="12"/>
  <c r="BU43" i="12"/>
  <c r="BM43" i="12"/>
  <c r="BE43" i="12"/>
  <c r="CC41" i="12"/>
  <c r="BU41" i="12"/>
  <c r="BM41" i="12"/>
  <c r="BE41" i="12"/>
  <c r="CC39" i="12"/>
  <c r="BU39" i="12"/>
  <c r="BM39" i="12"/>
  <c r="BE39" i="12"/>
  <c r="CC37" i="12"/>
  <c r="BU37" i="12"/>
  <c r="BM37" i="12"/>
  <c r="BE37" i="12"/>
  <c r="CC35" i="12"/>
  <c r="BU35" i="12"/>
  <c r="BM35" i="12"/>
  <c r="BE35" i="12"/>
  <c r="CC33" i="12"/>
  <c r="BU33" i="12"/>
  <c r="BM33" i="12"/>
  <c r="BE33" i="12"/>
  <c r="CC31" i="12"/>
  <c r="BU31" i="12"/>
  <c r="BM31" i="12"/>
  <c r="BE31" i="12"/>
  <c r="CC29" i="12"/>
  <c r="BU29" i="12"/>
  <c r="BM29" i="12"/>
  <c r="BE29" i="12"/>
  <c r="CC59" i="9"/>
  <c r="BU59" i="9"/>
  <c r="BM59" i="9"/>
  <c r="BE59" i="9"/>
  <c r="CC57" i="9"/>
  <c r="BU57" i="9"/>
  <c r="BM57" i="9"/>
  <c r="BE57" i="9"/>
  <c r="CC55" i="9"/>
  <c r="BU55" i="9"/>
  <c r="BM55" i="9"/>
  <c r="BE55" i="9"/>
  <c r="CC53" i="9"/>
  <c r="BU53" i="9"/>
  <c r="BM53" i="9"/>
  <c r="BE53" i="9"/>
  <c r="CC51" i="9"/>
  <c r="BU51" i="9"/>
  <c r="BM51" i="9"/>
  <c r="BE51" i="9"/>
  <c r="CC49" i="9"/>
  <c r="BU49" i="9"/>
  <c r="BM49" i="9"/>
  <c r="BE49" i="9"/>
  <c r="CC47" i="9"/>
  <c r="BU47" i="9"/>
  <c r="BM47" i="9"/>
  <c r="BE47" i="9"/>
  <c r="CC45" i="9"/>
  <c r="BU45" i="9"/>
  <c r="BM45" i="9"/>
  <c r="BE45" i="9"/>
  <c r="CC43" i="9"/>
  <c r="BU43" i="9"/>
  <c r="BM43" i="9"/>
  <c r="BE43" i="9"/>
  <c r="CC41" i="9"/>
  <c r="BU41" i="9"/>
  <c r="BM41" i="9"/>
  <c r="BE41" i="9"/>
  <c r="CC39" i="9"/>
  <c r="BU39" i="9"/>
  <c r="BM39" i="9"/>
  <c r="BE39" i="9"/>
  <c r="CC37" i="9"/>
  <c r="BU37" i="9"/>
  <c r="BM37" i="9"/>
  <c r="BE37" i="9"/>
  <c r="CC35" i="9"/>
  <c r="BU35" i="9"/>
  <c r="BM35" i="9"/>
  <c r="BE35" i="9"/>
  <c r="CC33" i="9"/>
  <c r="BU33" i="9"/>
  <c r="BM33" i="9"/>
  <c r="BE33" i="9"/>
  <c r="CC31" i="9"/>
  <c r="BU31" i="9"/>
  <c r="BM31" i="9"/>
  <c r="BE31" i="9"/>
  <c r="CC29" i="9"/>
  <c r="BU29" i="9"/>
  <c r="BM29" i="9"/>
  <c r="BE29" i="9"/>
  <c r="BG20" i="9"/>
  <c r="CC60" i="8"/>
  <c r="BU60" i="8"/>
  <c r="BM60" i="8"/>
  <c r="BE60" i="8"/>
  <c r="CC58" i="8"/>
  <c r="BU58" i="8"/>
  <c r="BM58" i="8"/>
  <c r="BE58" i="8"/>
  <c r="CC56" i="8"/>
  <c r="BU56" i="8"/>
  <c r="BM56" i="8"/>
  <c r="BE56" i="8"/>
  <c r="CC54" i="8"/>
  <c r="BU54" i="8"/>
  <c r="BM54" i="8"/>
  <c r="BE54" i="8"/>
  <c r="CC52" i="8"/>
  <c r="BU52" i="8"/>
  <c r="BM52" i="8"/>
  <c r="BE52" i="8"/>
  <c r="CC50" i="8"/>
  <c r="BU50" i="8"/>
  <c r="BM50" i="8"/>
  <c r="BE50" i="8"/>
  <c r="CC48" i="8"/>
  <c r="BU48" i="8"/>
  <c r="BM48" i="8"/>
  <c r="BE48" i="8"/>
  <c r="CC46" i="8"/>
  <c r="BU46" i="8"/>
  <c r="BM46" i="8"/>
  <c r="BE46" i="8"/>
  <c r="CC44" i="8"/>
  <c r="BU44" i="8"/>
  <c r="BM44" i="8"/>
  <c r="BE44" i="8"/>
  <c r="CC42" i="8"/>
  <c r="BU42" i="8"/>
  <c r="BM42" i="8"/>
  <c r="BE42" i="8"/>
  <c r="CC40" i="8"/>
  <c r="BU40" i="8"/>
  <c r="BM40" i="8"/>
  <c r="BE40" i="8"/>
  <c r="CC38" i="8"/>
  <c r="BU38" i="8"/>
  <c r="BM38" i="8"/>
  <c r="BE38" i="8"/>
  <c r="CC36" i="8"/>
  <c r="BU36" i="8"/>
  <c r="BM36" i="8"/>
  <c r="BE36" i="8"/>
  <c r="CC34" i="8"/>
  <c r="BU34" i="8"/>
  <c r="BM34" i="8"/>
  <c r="BE34" i="8"/>
  <c r="CC32" i="8"/>
  <c r="BU32" i="8"/>
  <c r="BM32" i="8"/>
  <c r="BE32" i="8"/>
  <c r="CC30" i="8"/>
  <c r="BU30" i="8"/>
  <c r="BM30" i="8"/>
  <c r="BE30" i="8"/>
  <c r="BG20" i="8"/>
  <c r="F96" i="1"/>
  <c r="F80" i="1"/>
  <c r="E59" i="17"/>
  <c r="E31" i="17"/>
  <c r="E53" i="17"/>
  <c r="E47" i="17"/>
  <c r="E43" i="17"/>
  <c r="E29" i="17"/>
  <c r="E33" i="17"/>
  <c r="E55" i="17"/>
  <c r="E41" i="17"/>
  <c r="E35" i="17"/>
  <c r="E57" i="17"/>
  <c r="E37" i="17"/>
  <c r="E39" i="17"/>
  <c r="E51" i="17"/>
  <c r="E45" i="17"/>
  <c r="E49" i="17"/>
  <c r="G27" i="17" l="1"/>
  <c r="V9" i="12"/>
  <c r="M30" i="8"/>
  <c r="M59" i="12"/>
  <c r="M57" i="12"/>
  <c r="M55" i="12"/>
  <c r="M53" i="12"/>
  <c r="M51" i="12"/>
  <c r="M49" i="12"/>
  <c r="M47" i="12"/>
  <c r="M45" i="12"/>
  <c r="M43" i="12"/>
  <c r="M41" i="12"/>
  <c r="M39" i="12"/>
  <c r="M37" i="12"/>
  <c r="M35" i="12"/>
  <c r="M33" i="12"/>
  <c r="M31" i="12"/>
  <c r="M29" i="12"/>
  <c r="M59" i="10"/>
  <c r="M57" i="10"/>
  <c r="M55" i="10"/>
  <c r="M53" i="10"/>
  <c r="M51" i="10"/>
  <c r="M49" i="10"/>
  <c r="M47" i="10"/>
  <c r="M45" i="10"/>
  <c r="M43" i="10"/>
  <c r="M41" i="10"/>
  <c r="M39" i="10"/>
  <c r="M37" i="10"/>
  <c r="M35" i="10"/>
  <c r="M33" i="10"/>
  <c r="M31" i="10"/>
  <c r="M29" i="10"/>
  <c r="M59" i="9"/>
  <c r="M57" i="9"/>
  <c r="M55" i="9"/>
  <c r="M53" i="9"/>
  <c r="M51" i="9"/>
  <c r="M49" i="9"/>
  <c r="M47" i="9"/>
  <c r="M45" i="9"/>
  <c r="M43" i="9"/>
  <c r="M41" i="9"/>
  <c r="M39" i="9"/>
  <c r="M37" i="9"/>
  <c r="M29" i="9"/>
  <c r="M31" i="9"/>
  <c r="M33" i="9"/>
  <c r="M35" i="9"/>
  <c r="M32" i="8"/>
  <c r="M34" i="8"/>
  <c r="M36" i="8"/>
  <c r="M38" i="8"/>
  <c r="M40" i="8"/>
  <c r="M42" i="8"/>
  <c r="M44" i="8"/>
  <c r="M46" i="8"/>
  <c r="M48" i="8"/>
  <c r="M50" i="8"/>
  <c r="M52" i="8"/>
  <c r="M54" i="8"/>
  <c r="M56" i="8"/>
  <c r="M60" i="8"/>
  <c r="M58" i="8"/>
  <c r="CY128" i="12"/>
  <c r="CY129" i="12" s="1"/>
  <c r="CY130" i="12" s="1"/>
  <c r="CY131" i="12" s="1"/>
  <c r="CY132" i="12" s="1"/>
  <c r="CY133" i="12" s="1"/>
  <c r="CY134" i="12" s="1"/>
  <c r="CY135" i="12" s="1"/>
  <c r="CY136" i="12" s="1"/>
  <c r="CY137" i="12" s="1"/>
  <c r="CY138" i="12" s="1"/>
  <c r="AS128" i="12"/>
  <c r="AS129" i="12" s="1"/>
  <c r="AS130" i="12" s="1"/>
  <c r="AS131" i="12" s="1"/>
  <c r="AS132" i="12" s="1"/>
  <c r="AS133" i="12" s="1"/>
  <c r="AS134" i="12" s="1"/>
  <c r="AS135" i="12" s="1"/>
  <c r="AS136" i="12" s="1"/>
  <c r="AS137" i="12" s="1"/>
  <c r="AS138" i="12" s="1"/>
  <c r="CX97" i="12"/>
  <c r="CX98" i="12" s="1"/>
  <c r="CX99" i="12" s="1"/>
  <c r="CX100" i="12" s="1"/>
  <c r="CX101" i="12" s="1"/>
  <c r="CX102" i="12" s="1"/>
  <c r="CX103" i="12" s="1"/>
  <c r="CX104" i="12" s="1"/>
  <c r="CX105" i="12" s="1"/>
  <c r="CX106" i="12" s="1"/>
  <c r="CX107" i="12" s="1"/>
  <c r="CX108" i="12" s="1"/>
  <c r="CX109" i="12" s="1"/>
  <c r="CX110" i="12" s="1"/>
  <c r="CX111" i="12" s="1"/>
  <c r="CX112" i="12" s="1"/>
  <c r="CX113" i="12" s="1"/>
  <c r="CX114" i="12" s="1"/>
  <c r="CX115" i="12" s="1"/>
  <c r="CX116" i="12" s="1"/>
  <c r="CX117" i="12" s="1"/>
  <c r="CX118" i="12" s="1"/>
  <c r="CX119" i="12" s="1"/>
  <c r="CX120" i="12" s="1"/>
  <c r="CX121" i="12" s="1"/>
  <c r="CX122" i="12" s="1"/>
  <c r="CX123" i="12" s="1"/>
  <c r="CX124" i="12" s="1"/>
  <c r="CX125" i="12" s="1"/>
  <c r="CX126" i="12" s="1"/>
  <c r="CX127" i="12" s="1"/>
  <c r="CX128" i="12" s="1"/>
  <c r="CX129" i="12" s="1"/>
  <c r="CX130" i="12" s="1"/>
  <c r="CX131" i="12" s="1"/>
  <c r="CX132" i="12" s="1"/>
  <c r="CX133" i="12" s="1"/>
  <c r="CX134" i="12" s="1"/>
  <c r="CX135" i="12" s="1"/>
  <c r="CX136" i="12" s="1"/>
  <c r="CX137" i="12" s="1"/>
  <c r="CX138" i="12" s="1"/>
  <c r="CX139" i="12" s="1"/>
  <c r="CX140" i="12" s="1"/>
  <c r="CX141" i="12" s="1"/>
  <c r="CX142" i="12" s="1"/>
  <c r="CX143" i="12" s="1"/>
  <c r="CX144" i="12" s="1"/>
  <c r="CX145" i="12" s="1"/>
  <c r="CX146" i="12" s="1"/>
  <c r="CX147" i="12" s="1"/>
  <c r="CX148" i="12" s="1"/>
  <c r="CX149" i="12" s="1"/>
  <c r="CX150" i="12" s="1"/>
  <c r="CX151" i="12" s="1"/>
  <c r="CX152" i="12" s="1"/>
  <c r="CX153" i="12" s="1"/>
  <c r="CX154" i="12" s="1"/>
  <c r="CX155" i="12" s="1"/>
  <c r="CX156" i="12" s="1"/>
  <c r="CX157" i="12" s="1"/>
  <c r="CX158" i="12" s="1"/>
  <c r="CX159" i="12" s="1"/>
  <c r="CX160" i="12" s="1"/>
  <c r="CX161" i="12" s="1"/>
  <c r="AR97" i="12"/>
  <c r="AR98" i="12" s="1"/>
  <c r="AR99" i="12" s="1"/>
  <c r="AR100" i="12" s="1"/>
  <c r="AR101" i="12" s="1"/>
  <c r="AR102" i="12" s="1"/>
  <c r="AR103" i="12" s="1"/>
  <c r="AR104" i="12" s="1"/>
  <c r="AR105" i="12" s="1"/>
  <c r="AR106" i="12" s="1"/>
  <c r="AR107" i="12" s="1"/>
  <c r="AR108" i="12" s="1"/>
  <c r="AR109" i="12" s="1"/>
  <c r="AR110" i="12" s="1"/>
  <c r="AR111" i="12" s="1"/>
  <c r="AR112" i="12" s="1"/>
  <c r="AR113" i="12" s="1"/>
  <c r="AR114" i="12" s="1"/>
  <c r="AR115" i="12" s="1"/>
  <c r="AR116" i="12" s="1"/>
  <c r="AR117" i="12" s="1"/>
  <c r="AR118" i="12" s="1"/>
  <c r="AR119" i="12" s="1"/>
  <c r="AR120" i="12" s="1"/>
  <c r="AR121" i="12" s="1"/>
  <c r="AR122" i="12" s="1"/>
  <c r="AR123" i="12" s="1"/>
  <c r="AR124" i="12" s="1"/>
  <c r="AR125" i="12" s="1"/>
  <c r="AR126" i="12" s="1"/>
  <c r="AR127" i="12" s="1"/>
  <c r="AR128" i="12" s="1"/>
  <c r="AR129" i="12" s="1"/>
  <c r="AR130" i="12" s="1"/>
  <c r="AR131" i="12" s="1"/>
  <c r="AR132" i="12" s="1"/>
  <c r="AR133" i="12" s="1"/>
  <c r="AR134" i="12" s="1"/>
  <c r="AR135" i="12" s="1"/>
  <c r="AR136" i="12" s="1"/>
  <c r="AR137" i="12" s="1"/>
  <c r="AR138" i="12" s="1"/>
  <c r="AR139" i="12" s="1"/>
  <c r="AR140" i="12" s="1"/>
  <c r="AR141" i="12" s="1"/>
  <c r="AR142" i="12" s="1"/>
  <c r="AR143" i="12" s="1"/>
  <c r="AR144" i="12" s="1"/>
  <c r="AR145" i="12" s="1"/>
  <c r="AR146" i="12" s="1"/>
  <c r="AR147" i="12" s="1"/>
  <c r="AR148" i="12" s="1"/>
  <c r="AR149" i="12" s="1"/>
  <c r="AR150" i="12" s="1"/>
  <c r="AR151" i="12" s="1"/>
  <c r="AR152" i="12" s="1"/>
  <c r="AR153" i="12" s="1"/>
  <c r="AR154" i="12" s="1"/>
  <c r="AR155" i="12" s="1"/>
  <c r="AR156" i="12" s="1"/>
  <c r="AR157" i="12" s="1"/>
  <c r="AR158" i="12" s="1"/>
  <c r="AR159" i="12" s="1"/>
  <c r="AR160" i="12" s="1"/>
  <c r="AR161" i="12" s="1"/>
  <c r="AR162" i="12" s="1"/>
  <c r="AR163" i="12" s="1"/>
  <c r="AR164" i="12" s="1"/>
  <c r="AR165" i="12" s="1"/>
  <c r="AR166" i="12" s="1"/>
  <c r="AR167" i="12" s="1"/>
  <c r="Q97" i="12"/>
  <c r="Q98" i="12" s="1"/>
  <c r="Q99" i="12" s="1"/>
  <c r="Q100" i="12" s="1"/>
  <c r="Q101" i="12" s="1"/>
  <c r="Q102" i="12" s="1"/>
  <c r="Q103" i="12" s="1"/>
  <c r="Q104" i="12" s="1"/>
  <c r="Q105" i="12" s="1"/>
  <c r="Q106" i="12" s="1"/>
  <c r="Q107" i="12" s="1"/>
  <c r="Q108" i="12" s="1"/>
  <c r="Q109" i="12" s="1"/>
  <c r="Q110" i="12" s="1"/>
  <c r="Q111" i="12" s="1"/>
  <c r="Q112" i="12" s="1"/>
  <c r="Q113" i="12" s="1"/>
  <c r="Q114" i="12" s="1"/>
  <c r="Q115" i="12" s="1"/>
  <c r="Q116" i="12" s="1"/>
  <c r="Q117" i="12" s="1"/>
  <c r="Q118" i="12" s="1"/>
  <c r="Q119" i="12" s="1"/>
  <c r="Q120" i="12" s="1"/>
  <c r="Q121" i="12" s="1"/>
  <c r="Q122" i="12" s="1"/>
  <c r="Q123" i="12" s="1"/>
  <c r="Q124" i="12" s="1"/>
  <c r="Q125" i="12" s="1"/>
  <c r="Q126" i="12" s="1"/>
  <c r="Q127" i="12" s="1"/>
  <c r="Q128" i="12" s="1"/>
  <c r="Q129" i="12" s="1"/>
  <c r="Q130" i="12" s="1"/>
  <c r="Q131" i="12" s="1"/>
  <c r="Q132" i="12" s="1"/>
  <c r="Q133" i="12" s="1"/>
  <c r="Q134" i="12" s="1"/>
  <c r="Q135" i="12" s="1"/>
  <c r="Q136" i="12" s="1"/>
  <c r="Q137" i="12" s="1"/>
  <c r="Q138" i="12" s="1"/>
  <c r="Q139" i="12" s="1"/>
  <c r="Q140" i="12" s="1"/>
  <c r="Q141" i="12" s="1"/>
  <c r="Q142" i="12" s="1"/>
  <c r="Q143" i="12" s="1"/>
  <c r="Q144" i="12" s="1"/>
  <c r="Q145" i="12" s="1"/>
  <c r="Q146" i="12" s="1"/>
  <c r="Q147" i="12" s="1"/>
  <c r="Q148" i="12" s="1"/>
  <c r="Q149" i="12" s="1"/>
  <c r="Q150" i="12" s="1"/>
  <c r="Q151" i="12" s="1"/>
  <c r="Q152" i="12" s="1"/>
  <c r="Q153" i="12" s="1"/>
  <c r="Q154" i="12" s="1"/>
  <c r="Q155" i="12" s="1"/>
  <c r="Q156" i="12" s="1"/>
  <c r="Q157" i="12" s="1"/>
  <c r="Q158" i="12" s="1"/>
  <c r="Q159" i="12" s="1"/>
  <c r="Q160" i="12" s="1"/>
  <c r="Q161" i="12" s="1"/>
  <c r="Q162" i="12" s="1"/>
  <c r="Q163" i="12" s="1"/>
  <c r="Q164" i="12" s="1"/>
  <c r="Q165" i="12" s="1"/>
  <c r="Q166" i="12" s="1"/>
  <c r="CV65" i="12"/>
  <c r="CV66" i="12" s="1"/>
  <c r="CV67" i="12" s="1"/>
  <c r="CV68" i="12" s="1"/>
  <c r="CV69" i="12" s="1"/>
  <c r="CV70" i="12" s="1"/>
  <c r="CV71" i="12" s="1"/>
  <c r="CV72" i="12" s="1"/>
  <c r="CV73" i="12" s="1"/>
  <c r="CV74" i="12" s="1"/>
  <c r="CV75" i="12" s="1"/>
  <c r="CV76" i="12" s="1"/>
  <c r="CV77" i="12" s="1"/>
  <c r="CV78" i="12" s="1"/>
  <c r="CV79" i="12" s="1"/>
  <c r="CV80" i="12" s="1"/>
  <c r="CV81" i="12" s="1"/>
  <c r="CV82" i="12" s="1"/>
  <c r="CV83" i="12" s="1"/>
  <c r="CV84" i="12" s="1"/>
  <c r="CV85" i="12" s="1"/>
  <c r="CV86" i="12" s="1"/>
  <c r="CV87" i="12" s="1"/>
  <c r="CV88" i="12" s="1"/>
  <c r="CV89" i="12" s="1"/>
  <c r="CV90" i="12" s="1"/>
  <c r="CV91" i="12" s="1"/>
  <c r="CV92" i="12" s="1"/>
  <c r="CV93" i="12" s="1"/>
  <c r="CV94" i="12" s="1"/>
  <c r="CV95" i="12" s="1"/>
  <c r="CV96" i="12" s="1"/>
  <c r="CV97" i="12" s="1"/>
  <c r="CV98" i="12" s="1"/>
  <c r="CV99" i="12" s="1"/>
  <c r="CV100" i="12" s="1"/>
  <c r="CV101" i="12" s="1"/>
  <c r="CV102" i="12" s="1"/>
  <c r="CV103" i="12" s="1"/>
  <c r="CV104" i="12" s="1"/>
  <c r="CV105" i="12" s="1"/>
  <c r="CV106" i="12" s="1"/>
  <c r="CV107" i="12" s="1"/>
  <c r="CV108" i="12" s="1"/>
  <c r="CV109" i="12" s="1"/>
  <c r="CV110" i="12" s="1"/>
  <c r="CV111" i="12" s="1"/>
  <c r="CV112" i="12" s="1"/>
  <c r="CV113" i="12" s="1"/>
  <c r="CV114" i="12" s="1"/>
  <c r="CV115" i="12" s="1"/>
  <c r="CV116" i="12" s="1"/>
  <c r="CV117" i="12" s="1"/>
  <c r="CV118" i="12" s="1"/>
  <c r="CV119" i="12" s="1"/>
  <c r="CV120" i="12" s="1"/>
  <c r="CV121" i="12" s="1"/>
  <c r="CV122" i="12" s="1"/>
  <c r="CV123" i="12" s="1"/>
  <c r="CV124" i="12" s="1"/>
  <c r="CV125" i="12" s="1"/>
  <c r="CV126" i="12" s="1"/>
  <c r="CV127" i="12" s="1"/>
  <c r="CV128" i="12" s="1"/>
  <c r="CV129" i="12" s="1"/>
  <c r="CV130" i="12" s="1"/>
  <c r="CV131" i="12" s="1"/>
  <c r="CV132" i="12" s="1"/>
  <c r="CV133" i="12" s="1"/>
  <c r="CV134" i="12" s="1"/>
  <c r="CV135" i="12" s="1"/>
  <c r="CV136" i="12" s="1"/>
  <c r="CV137" i="12" s="1"/>
  <c r="CV138" i="12" s="1"/>
  <c r="CV139" i="12" s="1"/>
  <c r="CV140" i="12" s="1"/>
  <c r="CV141" i="12" s="1"/>
  <c r="CV142" i="12" s="1"/>
  <c r="CV143" i="12" s="1"/>
  <c r="CV144" i="12" s="1"/>
  <c r="CV145" i="12" s="1"/>
  <c r="CV146" i="12" s="1"/>
  <c r="CV147" i="12" s="1"/>
  <c r="CV148" i="12" s="1"/>
  <c r="CV149" i="12" s="1"/>
  <c r="CV150" i="12" s="1"/>
  <c r="CV151" i="12" s="1"/>
  <c r="CV152" i="12" s="1"/>
  <c r="CV153" i="12" s="1"/>
  <c r="CV154" i="12" s="1"/>
  <c r="CV155" i="12" s="1"/>
  <c r="CV156" i="12" s="1"/>
  <c r="CV157" i="12" s="1"/>
  <c r="CV158" i="12" s="1"/>
  <c r="CV159" i="12" s="1"/>
  <c r="CV160" i="12" s="1"/>
  <c r="CV161" i="12" s="1"/>
  <c r="CV162" i="12" s="1"/>
  <c r="CV163" i="12" s="1"/>
  <c r="CV164" i="12" s="1"/>
  <c r="CV165" i="12" s="1"/>
  <c r="CV166" i="12" s="1"/>
  <c r="CV167" i="12" s="1"/>
  <c r="CV168" i="12" s="1"/>
  <c r="CV169" i="12" s="1"/>
  <c r="CV170" i="12" s="1"/>
  <c r="CV171" i="12" s="1"/>
  <c r="CV172" i="12" s="1"/>
  <c r="CV173" i="12" s="1"/>
  <c r="CV174" i="12" s="1"/>
  <c r="CV175" i="12" s="1"/>
  <c r="CV176" i="12" s="1"/>
  <c r="CV177" i="12" s="1"/>
  <c r="CV178" i="12" s="1"/>
  <c r="CV179" i="12" s="1"/>
  <c r="CV180" i="12" s="1"/>
  <c r="CV181" i="12" s="1"/>
  <c r="CV182" i="12" s="1"/>
  <c r="CV183" i="12" s="1"/>
  <c r="CV184" i="12" s="1"/>
  <c r="CV185" i="12" s="1"/>
  <c r="CV186" i="12" s="1"/>
  <c r="CV187" i="12" s="1"/>
  <c r="CV188" i="12" s="1"/>
  <c r="CV189" i="12" s="1"/>
  <c r="CV190" i="12" s="1"/>
  <c r="CV191" i="12" s="1"/>
  <c r="CV192" i="12" s="1"/>
  <c r="CV193" i="12" s="1"/>
  <c r="CV194" i="12" s="1"/>
  <c r="CV64" i="12"/>
  <c r="AP64" i="12"/>
  <c r="AP65" i="12" s="1"/>
  <c r="AP66" i="12" s="1"/>
  <c r="AP67" i="12" s="1"/>
  <c r="AP68" i="12" s="1"/>
  <c r="AP69" i="12" s="1"/>
  <c r="AP70" i="12" s="1"/>
  <c r="AP71" i="12" s="1"/>
  <c r="AP72" i="12" s="1"/>
  <c r="O64" i="12"/>
  <c r="O65" i="12" s="1"/>
  <c r="O66" i="12" s="1"/>
  <c r="O67" i="12" s="1"/>
  <c r="O68" i="12" s="1"/>
  <c r="O69" i="12" s="1"/>
  <c r="O70" i="12" s="1"/>
  <c r="O71" i="12" s="1"/>
  <c r="O72" i="12" s="1"/>
  <c r="O73" i="12" s="1"/>
  <c r="O74" i="12" s="1"/>
  <c r="O75" i="12" s="1"/>
  <c r="O76" i="12" s="1"/>
  <c r="O77" i="12" s="1"/>
  <c r="O78" i="12" s="1"/>
  <c r="O79" i="12" s="1"/>
  <c r="O80" i="12" s="1"/>
  <c r="O81" i="12" s="1"/>
  <c r="O82" i="12" s="1"/>
  <c r="O83" i="12" s="1"/>
  <c r="O84" i="12" s="1"/>
  <c r="O85" i="12" s="1"/>
  <c r="O86" i="12" s="1"/>
  <c r="O87" i="12" s="1"/>
  <c r="O88" i="12" s="1"/>
  <c r="O89" i="12" s="1"/>
  <c r="O90" i="12" s="1"/>
  <c r="O91" i="12" s="1"/>
  <c r="O92" i="12" s="1"/>
  <c r="O93" i="12" s="1"/>
  <c r="O94" i="12" s="1"/>
  <c r="O95" i="12" s="1"/>
  <c r="O96" i="12" s="1"/>
  <c r="O97" i="12" s="1"/>
  <c r="O98" i="12" s="1"/>
  <c r="O99" i="12" s="1"/>
  <c r="O100" i="12" s="1"/>
  <c r="O101" i="12" s="1"/>
  <c r="O102" i="12" s="1"/>
  <c r="O103" i="12" s="1"/>
  <c r="O104" i="12" s="1"/>
  <c r="O105" i="12" s="1"/>
  <c r="O106" i="12" s="1"/>
  <c r="O107" i="12" s="1"/>
  <c r="O108" i="12" s="1"/>
  <c r="O109" i="12" s="1"/>
  <c r="O110" i="12" s="1"/>
  <c r="O111" i="12" s="1"/>
  <c r="O112" i="12" s="1"/>
  <c r="O113" i="12" s="1"/>
  <c r="O114" i="12" s="1"/>
  <c r="O115" i="12" s="1"/>
  <c r="O116" i="12" s="1"/>
  <c r="O117" i="12" s="1"/>
  <c r="O118" i="12" s="1"/>
  <c r="O119" i="12" s="1"/>
  <c r="O120" i="12" s="1"/>
  <c r="O121" i="12" s="1"/>
  <c r="O122" i="12" s="1"/>
  <c r="O123" i="12" s="1"/>
  <c r="O124" i="12" s="1"/>
  <c r="O125" i="12" s="1"/>
  <c r="O126" i="12" s="1"/>
  <c r="O127" i="12" s="1"/>
  <c r="O128" i="12" s="1"/>
  <c r="O129" i="12" s="1"/>
  <c r="O130" i="12" s="1"/>
  <c r="O131" i="12" s="1"/>
  <c r="O132" i="12" s="1"/>
  <c r="O133" i="12" s="1"/>
  <c r="O134" i="12" s="1"/>
  <c r="O135" i="12" s="1"/>
  <c r="O136" i="12" s="1"/>
  <c r="O137" i="12" s="1"/>
  <c r="O138" i="12" s="1"/>
  <c r="O139" i="12" s="1"/>
  <c r="O140" i="12" s="1"/>
  <c r="O141" i="12" s="1"/>
  <c r="O142" i="12" s="1"/>
  <c r="O143" i="12" s="1"/>
  <c r="O144" i="12" s="1"/>
  <c r="O145" i="12" s="1"/>
  <c r="O146" i="12" s="1"/>
  <c r="O147" i="12" s="1"/>
  <c r="O148" i="12" s="1"/>
  <c r="O149" i="12" s="1"/>
  <c r="O150" i="12" s="1"/>
  <c r="O151" i="12" s="1"/>
  <c r="O152" i="12" s="1"/>
  <c r="O153" i="12" s="1"/>
  <c r="O154" i="12" s="1"/>
  <c r="O155" i="12" s="1"/>
  <c r="O156" i="12" s="1"/>
  <c r="O157" i="12" s="1"/>
  <c r="O158" i="12" s="1"/>
  <c r="O159" i="12" s="1"/>
  <c r="O160" i="12" s="1"/>
  <c r="O161" i="12" s="1"/>
  <c r="O162" i="12" s="1"/>
  <c r="O163" i="12" s="1"/>
  <c r="O164" i="12" s="1"/>
  <c r="O165" i="12" s="1"/>
  <c r="O166" i="12" s="1"/>
  <c r="O167" i="12" s="1"/>
  <c r="O168" i="12" s="1"/>
  <c r="O169" i="12" s="1"/>
  <c r="O170" i="12" s="1"/>
  <c r="O171" i="12" s="1"/>
  <c r="O172" i="12" s="1"/>
  <c r="O173" i="12" s="1"/>
  <c r="O174" i="12" s="1"/>
  <c r="O175" i="12" s="1"/>
  <c r="O176" i="12" s="1"/>
  <c r="O177" i="12" s="1"/>
  <c r="O178" i="12" s="1"/>
  <c r="O179" i="12" s="1"/>
  <c r="O180" i="12" s="1"/>
  <c r="O181" i="12" s="1"/>
  <c r="O182" i="12" s="1"/>
  <c r="O183" i="12" s="1"/>
  <c r="O184" i="12" s="1"/>
  <c r="O185" i="12" s="1"/>
  <c r="O186" i="12" s="1"/>
  <c r="O187" i="12" s="1"/>
  <c r="O188" i="12" s="1"/>
  <c r="O189" i="12" s="1"/>
  <c r="O190" i="12" s="1"/>
  <c r="O191" i="12" s="1"/>
  <c r="O192" i="12" s="1"/>
  <c r="O193" i="12" s="1"/>
  <c r="O194" i="12" s="1"/>
  <c r="CW63" i="12"/>
  <c r="AQ63" i="12"/>
  <c r="P63" i="12"/>
  <c r="AW59" i="12"/>
  <c r="AO59" i="12"/>
  <c r="AG59" i="12"/>
  <c r="Y59" i="12"/>
  <c r="AW57" i="12"/>
  <c r="AO57" i="12"/>
  <c r="AG57" i="12"/>
  <c r="Y57" i="12"/>
  <c r="AW55" i="12"/>
  <c r="AO55" i="12"/>
  <c r="AG55" i="12"/>
  <c r="Y55" i="12"/>
  <c r="AW53" i="12"/>
  <c r="AO53" i="12"/>
  <c r="AG53" i="12"/>
  <c r="Y53" i="12"/>
  <c r="AW51" i="12"/>
  <c r="AO51" i="12"/>
  <c r="AG51" i="12"/>
  <c r="Y51" i="12"/>
  <c r="AW49" i="12"/>
  <c r="AO49" i="12"/>
  <c r="AG49" i="12"/>
  <c r="Y49" i="12"/>
  <c r="AW47" i="12"/>
  <c r="AO47" i="12"/>
  <c r="AG47" i="12"/>
  <c r="Y47" i="12"/>
  <c r="AW45" i="12"/>
  <c r="AO45" i="12"/>
  <c r="AG45" i="12"/>
  <c r="Y45" i="12"/>
  <c r="AW43" i="12"/>
  <c r="AO43" i="12"/>
  <c r="AG43" i="12"/>
  <c r="Y43" i="12"/>
  <c r="AW41" i="12"/>
  <c r="AO41" i="12"/>
  <c r="AG41" i="12"/>
  <c r="Y41" i="12"/>
  <c r="AW39" i="12"/>
  <c r="AO39" i="12"/>
  <c r="AG39" i="12"/>
  <c r="Y39" i="12"/>
  <c r="AW37" i="12"/>
  <c r="AO37" i="12"/>
  <c r="AG37" i="12"/>
  <c r="Y37" i="12"/>
  <c r="AW35" i="12"/>
  <c r="AO35" i="12"/>
  <c r="AG35" i="12"/>
  <c r="Y35" i="12"/>
  <c r="AW33" i="12"/>
  <c r="AO33" i="12"/>
  <c r="AG33" i="12"/>
  <c r="Y33" i="12"/>
  <c r="AW31" i="12"/>
  <c r="AO31" i="12"/>
  <c r="AG31" i="12"/>
  <c r="Y31" i="12"/>
  <c r="AW29" i="12"/>
  <c r="AO29" i="12"/>
  <c r="AG29" i="12"/>
  <c r="Y29" i="12"/>
  <c r="C27" i="12"/>
  <c r="D27" i="12" s="1"/>
  <c r="AA20" i="12"/>
  <c r="AW59" i="10"/>
  <c r="AO59" i="10"/>
  <c r="AG59" i="10"/>
  <c r="Y59" i="10"/>
  <c r="AW57" i="10"/>
  <c r="AO57" i="10"/>
  <c r="AG57" i="10"/>
  <c r="Y57" i="10"/>
  <c r="AW55" i="10"/>
  <c r="AO55" i="10"/>
  <c r="AG55" i="10"/>
  <c r="Y55" i="10"/>
  <c r="AW53" i="10"/>
  <c r="AO53" i="10"/>
  <c r="AG53" i="10"/>
  <c r="Y53" i="10"/>
  <c r="AW51" i="10"/>
  <c r="AO51" i="10"/>
  <c r="AG51" i="10"/>
  <c r="Y51" i="10"/>
  <c r="AW49" i="10"/>
  <c r="AO49" i="10"/>
  <c r="AG49" i="10"/>
  <c r="Y49" i="10"/>
  <c r="AW47" i="10"/>
  <c r="AO47" i="10"/>
  <c r="AG47" i="10"/>
  <c r="Y47" i="10"/>
  <c r="AW45" i="10"/>
  <c r="AO45" i="10"/>
  <c r="AG45" i="10"/>
  <c r="Y45" i="10"/>
  <c r="AW43" i="10"/>
  <c r="AO43" i="10"/>
  <c r="AG43" i="10"/>
  <c r="Y43" i="10"/>
  <c r="AW41" i="10"/>
  <c r="AO41" i="10"/>
  <c r="AG41" i="10"/>
  <c r="Y41" i="10"/>
  <c r="AW39" i="10"/>
  <c r="AO39" i="10"/>
  <c r="AG39" i="10"/>
  <c r="Y39" i="10"/>
  <c r="AW37" i="10"/>
  <c r="AO37" i="10"/>
  <c r="AG37" i="10"/>
  <c r="Y37" i="10"/>
  <c r="AW35" i="10"/>
  <c r="AO35" i="10"/>
  <c r="AG35" i="10"/>
  <c r="Y35" i="10"/>
  <c r="AW33" i="10"/>
  <c r="AO33" i="10"/>
  <c r="AG33" i="10"/>
  <c r="Y33" i="10"/>
  <c r="AW31" i="10"/>
  <c r="AO31" i="10"/>
  <c r="AG31" i="10"/>
  <c r="Y31" i="10"/>
  <c r="AW29" i="10"/>
  <c r="AO29" i="10"/>
  <c r="AG29" i="10"/>
  <c r="Y29" i="10"/>
  <c r="C27" i="10"/>
  <c r="D27" i="10" s="1"/>
  <c r="AA20" i="10"/>
  <c r="AW59" i="9"/>
  <c r="AO59" i="9"/>
  <c r="AG59" i="9"/>
  <c r="Y59" i="9"/>
  <c r="AW57" i="9"/>
  <c r="AO57" i="9"/>
  <c r="AG57" i="9"/>
  <c r="Y57" i="9"/>
  <c r="AW55" i="9"/>
  <c r="AO55" i="9"/>
  <c r="AG55" i="9"/>
  <c r="Y55" i="9"/>
  <c r="AW53" i="9"/>
  <c r="AO53" i="9"/>
  <c r="AG53" i="9"/>
  <c r="Y53" i="9"/>
  <c r="AW51" i="9"/>
  <c r="AO51" i="9"/>
  <c r="AG51" i="9"/>
  <c r="Y51" i="9"/>
  <c r="AW49" i="9"/>
  <c r="AO49" i="9"/>
  <c r="AG49" i="9"/>
  <c r="Y49" i="9"/>
  <c r="AW47" i="9"/>
  <c r="AO47" i="9"/>
  <c r="AG47" i="9"/>
  <c r="Y47" i="9"/>
  <c r="AW45" i="9"/>
  <c r="AO45" i="9"/>
  <c r="AG45" i="9"/>
  <c r="Y45" i="9"/>
  <c r="AW43" i="9"/>
  <c r="AO43" i="9"/>
  <c r="AG43" i="9"/>
  <c r="Y43" i="9"/>
  <c r="AW41" i="9"/>
  <c r="AO41" i="9"/>
  <c r="AG41" i="9"/>
  <c r="Y41" i="9"/>
  <c r="AW39" i="9"/>
  <c r="AO39" i="9"/>
  <c r="AG39" i="9"/>
  <c r="Y39" i="9"/>
  <c r="AW37" i="9"/>
  <c r="AO37" i="9"/>
  <c r="AG37" i="9"/>
  <c r="Y37" i="9"/>
  <c r="AW35" i="9"/>
  <c r="AO35" i="9"/>
  <c r="AG35" i="9"/>
  <c r="Y35" i="9"/>
  <c r="AW33" i="9"/>
  <c r="AO33" i="9"/>
  <c r="AG33" i="9"/>
  <c r="Y33" i="9"/>
  <c r="AW31" i="9"/>
  <c r="AO31" i="9"/>
  <c r="AG31" i="9"/>
  <c r="Y31" i="9"/>
  <c r="AW29" i="9"/>
  <c r="AO29" i="9"/>
  <c r="AG29" i="9"/>
  <c r="Y29" i="9"/>
  <c r="C27" i="9"/>
  <c r="D27" i="9" s="1"/>
  <c r="AA20" i="9"/>
  <c r="V7" i="9"/>
  <c r="AW60" i="8"/>
  <c r="AO60" i="8"/>
  <c r="AG60" i="8"/>
  <c r="Y60" i="8"/>
  <c r="AW58" i="8"/>
  <c r="AO58" i="8"/>
  <c r="AG58" i="8"/>
  <c r="Y58" i="8"/>
  <c r="AW56" i="8"/>
  <c r="AO56" i="8"/>
  <c r="AG56" i="8"/>
  <c r="Y56" i="8"/>
  <c r="AW54" i="8"/>
  <c r="AO54" i="8"/>
  <c r="AG54" i="8"/>
  <c r="Y54" i="8"/>
  <c r="AW52" i="8"/>
  <c r="AO52" i="8"/>
  <c r="AG52" i="8"/>
  <c r="Y52" i="8"/>
  <c r="AW50" i="8"/>
  <c r="AO50" i="8"/>
  <c r="AG50" i="8"/>
  <c r="Y50" i="8"/>
  <c r="AW48" i="8"/>
  <c r="AO48" i="8"/>
  <c r="AG48" i="8"/>
  <c r="Y48" i="8"/>
  <c r="AW46" i="8"/>
  <c r="AO46" i="8"/>
  <c r="AG46" i="8"/>
  <c r="Y46" i="8"/>
  <c r="AW44" i="8"/>
  <c r="AO44" i="8"/>
  <c r="AG44" i="8"/>
  <c r="Y44" i="8"/>
  <c r="AW42" i="8"/>
  <c r="AO42" i="8"/>
  <c r="AG42" i="8"/>
  <c r="Y42" i="8"/>
  <c r="AW40" i="8"/>
  <c r="AO40" i="8"/>
  <c r="AG40" i="8"/>
  <c r="Y40" i="8"/>
  <c r="AW38" i="8"/>
  <c r="AO38" i="8"/>
  <c r="AG38" i="8"/>
  <c r="Y38" i="8"/>
  <c r="AA20" i="8"/>
  <c r="AW36" i="8"/>
  <c r="AO36" i="8"/>
  <c r="AG36" i="8"/>
  <c r="Y36" i="8"/>
  <c r="AW34" i="8"/>
  <c r="AO34" i="8"/>
  <c r="AG34" i="8"/>
  <c r="Y34" i="8"/>
  <c r="AW32" i="8"/>
  <c r="AO32" i="8"/>
  <c r="AG32" i="8"/>
  <c r="Y32" i="8"/>
  <c r="AW30" i="8"/>
  <c r="AO30" i="8"/>
  <c r="AG30" i="8"/>
  <c r="Y30" i="8"/>
  <c r="C28" i="8"/>
  <c r="D28" i="8" s="1"/>
  <c r="B57" i="12"/>
  <c r="B38" i="8"/>
  <c r="B37" i="9"/>
  <c r="B32" i="8"/>
  <c r="B30" i="8"/>
  <c r="B59" i="9"/>
  <c r="B57" i="10"/>
  <c r="B45" i="12"/>
  <c r="B56" i="8"/>
  <c r="B34" i="8"/>
  <c r="C43" i="10"/>
  <c r="C49" i="12"/>
  <c r="B29" i="9"/>
  <c r="C55" i="12"/>
  <c r="B39" i="9"/>
  <c r="C37" i="10"/>
  <c r="B33" i="9"/>
  <c r="B55" i="9"/>
  <c r="B44" i="8"/>
  <c r="F45" i="17"/>
  <c r="B33" i="12"/>
  <c r="F49" i="17"/>
  <c r="F35" i="17"/>
  <c r="B35" i="9"/>
  <c r="D58" i="8"/>
  <c r="B37" i="10"/>
  <c r="B39" i="12"/>
  <c r="F37" i="17"/>
  <c r="B52" i="8"/>
  <c r="D50" i="8"/>
  <c r="C31" i="12"/>
  <c r="B47" i="12"/>
  <c r="B51" i="12"/>
  <c r="C55" i="10"/>
  <c r="F43" i="17"/>
  <c r="B31" i="10"/>
  <c r="B43" i="12"/>
  <c r="B37" i="12"/>
  <c r="B41" i="12"/>
  <c r="B31" i="12"/>
  <c r="B47" i="9"/>
  <c r="F41" i="17"/>
  <c r="B35" i="12"/>
  <c r="B49" i="9"/>
  <c r="F59" i="17"/>
  <c r="B33" i="10"/>
  <c r="B55" i="10"/>
  <c r="F31" i="17"/>
  <c r="B59" i="12"/>
  <c r="B36" i="8"/>
  <c r="B46" i="8"/>
  <c r="B53" i="12"/>
  <c r="F47" i="17"/>
  <c r="B29" i="10"/>
  <c r="B55" i="12"/>
  <c r="F57" i="17"/>
  <c r="B43" i="9"/>
  <c r="B39" i="10"/>
  <c r="D42" i="8"/>
  <c r="B29" i="12"/>
  <c r="B31" i="9"/>
  <c r="C49" i="10"/>
  <c r="B54" i="8"/>
  <c r="B57" i="9"/>
  <c r="B43" i="10"/>
  <c r="C31" i="10"/>
  <c r="F33" i="17"/>
  <c r="C37" i="12"/>
  <c r="F53" i="17"/>
  <c r="F29" i="17"/>
  <c r="C43" i="12"/>
  <c r="B49" i="12"/>
  <c r="B58" i="8"/>
  <c r="B50" i="8"/>
  <c r="B45" i="9"/>
  <c r="B35" i="10"/>
  <c r="F55" i="17"/>
  <c r="B47" i="10"/>
  <c r="F39" i="17"/>
  <c r="B53" i="10"/>
  <c r="B51" i="9"/>
  <c r="B49" i="10"/>
  <c r="B40" i="8"/>
  <c r="B53" i="9"/>
  <c r="B41" i="10"/>
  <c r="B41" i="9"/>
  <c r="B45" i="10"/>
  <c r="B60" i="8"/>
  <c r="B42" i="8"/>
  <c r="B59" i="10"/>
  <c r="F51" i="17"/>
  <c r="B51" i="10"/>
  <c r="B48" i="8"/>
  <c r="H27" i="17" l="1"/>
  <c r="V10" i="12"/>
  <c r="V8" i="9"/>
  <c r="AP73" i="12"/>
  <c r="AP74" i="12" s="1"/>
  <c r="AP75" i="12" s="1"/>
  <c r="AP76" i="12" s="1"/>
  <c r="AP77" i="12" s="1"/>
  <c r="AP78" i="12" s="1"/>
  <c r="AP79" i="12" s="1"/>
  <c r="AP80" i="12" s="1"/>
  <c r="AP81" i="12" s="1"/>
  <c r="AP82" i="12" s="1"/>
  <c r="AP83" i="12" s="1"/>
  <c r="AP84" i="12" s="1"/>
  <c r="AP85" i="12" s="1"/>
  <c r="AP86" i="12" s="1"/>
  <c r="AP87" i="12" s="1"/>
  <c r="AP88" i="12" s="1"/>
  <c r="AP89" i="12" s="1"/>
  <c r="AP90" i="12" s="1"/>
  <c r="AP91" i="12" s="1"/>
  <c r="AP92" i="12" s="1"/>
  <c r="AP93" i="12" s="1"/>
  <c r="AP94" i="12" s="1"/>
  <c r="AP95" i="12" s="1"/>
  <c r="AP96" i="12" s="1"/>
  <c r="AP97" i="12" s="1"/>
  <c r="AP98" i="12" s="1"/>
  <c r="AP99" i="12" s="1"/>
  <c r="AP100" i="12" s="1"/>
  <c r="AP101" i="12" s="1"/>
  <c r="AP102" i="12" s="1"/>
  <c r="AP103" i="12" s="1"/>
  <c r="AP104" i="12" s="1"/>
  <c r="AP105" i="12" s="1"/>
  <c r="AP106" i="12" s="1"/>
  <c r="AP107" i="12" s="1"/>
  <c r="AP108" i="12" s="1"/>
  <c r="AP109" i="12" s="1"/>
  <c r="AP110" i="12" s="1"/>
  <c r="AP111" i="12" s="1"/>
  <c r="AP112" i="12" s="1"/>
  <c r="AP113" i="12" s="1"/>
  <c r="AP114" i="12" s="1"/>
  <c r="AP115" i="12" s="1"/>
  <c r="AP116" i="12" s="1"/>
  <c r="AP117" i="12" s="1"/>
  <c r="AP118" i="12" s="1"/>
  <c r="AP119" i="12" s="1"/>
  <c r="AP120" i="12" s="1"/>
  <c r="AP121" i="12" s="1"/>
  <c r="AP122" i="12" s="1"/>
  <c r="AP123" i="12" s="1"/>
  <c r="AP124" i="12" s="1"/>
  <c r="AP125" i="12" s="1"/>
  <c r="AP126" i="12" s="1"/>
  <c r="AP127" i="12" s="1"/>
  <c r="AP128" i="12" s="1"/>
  <c r="AP129" i="12" s="1"/>
  <c r="AP130" i="12" s="1"/>
  <c r="AP131" i="12" s="1"/>
  <c r="AP132" i="12" s="1"/>
  <c r="AP133" i="12" s="1"/>
  <c r="AP134" i="12" s="1"/>
  <c r="AP135" i="12" s="1"/>
  <c r="AP136" i="12" s="1"/>
  <c r="AP137" i="12" s="1"/>
  <c r="AP138" i="12" s="1"/>
  <c r="AP139" i="12" s="1"/>
  <c r="AP140" i="12" s="1"/>
  <c r="AP141" i="12" s="1"/>
  <c r="AP142" i="12" s="1"/>
  <c r="AP143" i="12" s="1"/>
  <c r="AP144" i="12" s="1"/>
  <c r="AP145" i="12" s="1"/>
  <c r="AP146" i="12" s="1"/>
  <c r="AP147" i="12" s="1"/>
  <c r="AP148" i="12" s="1"/>
  <c r="AP149" i="12" s="1"/>
  <c r="AP150" i="12" s="1"/>
  <c r="AP151" i="12" s="1"/>
  <c r="AP152" i="12" s="1"/>
  <c r="AP153" i="12" s="1"/>
  <c r="AP154" i="12" s="1"/>
  <c r="AP155" i="12" s="1"/>
  <c r="AP156" i="12" s="1"/>
  <c r="AP157" i="12" s="1"/>
  <c r="AP158" i="12" s="1"/>
  <c r="AP159" i="12" s="1"/>
  <c r="AP160" i="12" s="1"/>
  <c r="AP161" i="12" s="1"/>
  <c r="AP162" i="12" s="1"/>
  <c r="AP163" i="12" s="1"/>
  <c r="AP164" i="12" s="1"/>
  <c r="AP165" i="12" s="1"/>
  <c r="AP166" i="12" s="1"/>
  <c r="AP167" i="12" s="1"/>
  <c r="AP168" i="12" s="1"/>
  <c r="AP169" i="12" s="1"/>
  <c r="AP170" i="12" s="1"/>
  <c r="AP171" i="12" s="1"/>
  <c r="AP172" i="12" s="1"/>
  <c r="AP173" i="12" s="1"/>
  <c r="AP174" i="12" s="1"/>
  <c r="AP175" i="12" s="1"/>
  <c r="AP176" i="12" s="1"/>
  <c r="AP177" i="12" s="1"/>
  <c r="AP178" i="12" s="1"/>
  <c r="AP179" i="12" s="1"/>
  <c r="AP180" i="12" s="1"/>
  <c r="AP181" i="12" s="1"/>
  <c r="AP182" i="12" s="1"/>
  <c r="AP183" i="12" s="1"/>
  <c r="AP184" i="12" s="1"/>
  <c r="AP185" i="12" s="1"/>
  <c r="AP186" i="12" s="1"/>
  <c r="AP187" i="12" s="1"/>
  <c r="AP188" i="12" s="1"/>
  <c r="AP189" i="12" s="1"/>
  <c r="AP190" i="12" s="1"/>
  <c r="AP191" i="12" s="1"/>
  <c r="AP192" i="12" s="1"/>
  <c r="AP193" i="12" s="1"/>
  <c r="AP194" i="12" s="1"/>
  <c r="P64" i="12"/>
  <c r="P65" i="12" s="1"/>
  <c r="P66" i="12" s="1"/>
  <c r="P67" i="12" s="1"/>
  <c r="P68" i="12" s="1"/>
  <c r="P69" i="12" s="1"/>
  <c r="P70" i="12" s="1"/>
  <c r="P71" i="12" s="1"/>
  <c r="P72" i="12" s="1"/>
  <c r="P73" i="12" s="1"/>
  <c r="P74" i="12" s="1"/>
  <c r="P75" i="12" s="1"/>
  <c r="P76" i="12" s="1"/>
  <c r="P77" i="12" s="1"/>
  <c r="P78" i="12" s="1"/>
  <c r="P79" i="12" s="1"/>
  <c r="P80" i="12" s="1"/>
  <c r="P81" i="12" s="1"/>
  <c r="P82" i="12" s="1"/>
  <c r="P83" i="12" s="1"/>
  <c r="P84" i="12" s="1"/>
  <c r="P85" i="12" s="1"/>
  <c r="P86" i="12" s="1"/>
  <c r="P87" i="12" s="1"/>
  <c r="P88" i="12" s="1"/>
  <c r="P89" i="12" s="1"/>
  <c r="P90" i="12" s="1"/>
  <c r="P91" i="12" s="1"/>
  <c r="P92" i="12" s="1"/>
  <c r="P93" i="12" s="1"/>
  <c r="P94" i="12" s="1"/>
  <c r="P95" i="12" s="1"/>
  <c r="P96" i="12" s="1"/>
  <c r="P97" i="12" s="1"/>
  <c r="P98" i="12" s="1"/>
  <c r="P99" i="12" s="1"/>
  <c r="P100" i="12" s="1"/>
  <c r="P101" i="12" s="1"/>
  <c r="P102" i="12" s="1"/>
  <c r="P103" i="12" s="1"/>
  <c r="P104" i="12" s="1"/>
  <c r="P105" i="12" s="1"/>
  <c r="P106" i="12" s="1"/>
  <c r="P107" i="12" s="1"/>
  <c r="P108" i="12" s="1"/>
  <c r="P109" i="12" s="1"/>
  <c r="P110" i="12" s="1"/>
  <c r="P111" i="12" s="1"/>
  <c r="P112" i="12" s="1"/>
  <c r="P113" i="12" s="1"/>
  <c r="P114" i="12" s="1"/>
  <c r="P115" i="12" s="1"/>
  <c r="P116" i="12" s="1"/>
  <c r="P117" i="12" s="1"/>
  <c r="P118" i="12" s="1"/>
  <c r="P119" i="12" s="1"/>
  <c r="P120" i="12" s="1"/>
  <c r="P121" i="12" s="1"/>
  <c r="P122" i="12" s="1"/>
  <c r="P123" i="12" s="1"/>
  <c r="P124" i="12" s="1"/>
  <c r="P125" i="12" s="1"/>
  <c r="P126" i="12" s="1"/>
  <c r="P127" i="12" s="1"/>
  <c r="P128" i="12" s="1"/>
  <c r="P129" i="12" s="1"/>
  <c r="P130" i="12" s="1"/>
  <c r="P131" i="12" s="1"/>
  <c r="P132" i="12" s="1"/>
  <c r="P133" i="12" s="1"/>
  <c r="P134" i="12" s="1"/>
  <c r="P135" i="12" s="1"/>
  <c r="P136" i="12" s="1"/>
  <c r="P137" i="12" s="1"/>
  <c r="P138" i="12" s="1"/>
  <c r="P139" i="12" s="1"/>
  <c r="P140" i="12" s="1"/>
  <c r="P141" i="12" s="1"/>
  <c r="P142" i="12" s="1"/>
  <c r="P143" i="12" s="1"/>
  <c r="P144" i="12" s="1"/>
  <c r="P145" i="12" s="1"/>
  <c r="P146" i="12" s="1"/>
  <c r="P147" i="12" s="1"/>
  <c r="P148" i="12" s="1"/>
  <c r="P149" i="12" s="1"/>
  <c r="P150" i="12" s="1"/>
  <c r="P151" i="12" s="1"/>
  <c r="P152" i="12" s="1"/>
  <c r="P153" i="12" s="1"/>
  <c r="P154" i="12" s="1"/>
  <c r="P155" i="12" s="1"/>
  <c r="P156" i="12" s="1"/>
  <c r="P157" i="12" s="1"/>
  <c r="P158" i="12" s="1"/>
  <c r="P159" i="12" s="1"/>
  <c r="P160" i="12" s="1"/>
  <c r="P161" i="12" s="1"/>
  <c r="P162" i="12" s="1"/>
  <c r="P163" i="12" s="1"/>
  <c r="P164" i="12" s="1"/>
  <c r="P165" i="12" s="1"/>
  <c r="P166" i="12" s="1"/>
  <c r="P167" i="12" s="1"/>
  <c r="P168" i="12" s="1"/>
  <c r="P169" i="12" s="1"/>
  <c r="P170" i="12" s="1"/>
  <c r="P171" i="12" s="1"/>
  <c r="P172" i="12" s="1"/>
  <c r="P173" i="12" s="1"/>
  <c r="P174" i="12" s="1"/>
  <c r="P175" i="12" s="1"/>
  <c r="P176" i="12" s="1"/>
  <c r="P177" i="12" s="1"/>
  <c r="P178" i="12" s="1"/>
  <c r="P179" i="12" s="1"/>
  <c r="P180" i="12" s="1"/>
  <c r="P181" i="12" s="1"/>
  <c r="P182" i="12" s="1"/>
  <c r="P183" i="12" s="1"/>
  <c r="P184" i="12" s="1"/>
  <c r="P185" i="12" s="1"/>
  <c r="P186" i="12" s="1"/>
  <c r="P187" i="12" s="1"/>
  <c r="P188" i="12" s="1"/>
  <c r="P189" i="12" s="1"/>
  <c r="P190" i="12" s="1"/>
  <c r="P191" i="12" s="1"/>
  <c r="P192" i="12" s="1"/>
  <c r="P193" i="12" s="1"/>
  <c r="P194" i="12" s="1"/>
  <c r="CW64" i="12"/>
  <c r="CW65" i="12" s="1"/>
  <c r="CW66" i="12" s="1"/>
  <c r="CW67" i="12" s="1"/>
  <c r="CW68" i="12" s="1"/>
  <c r="CW69" i="12" s="1"/>
  <c r="CW70" i="12" s="1"/>
  <c r="CW71" i="12" s="1"/>
  <c r="CW72" i="12" s="1"/>
  <c r="CW73" i="12" s="1"/>
  <c r="CW74" i="12" s="1"/>
  <c r="CW75" i="12" s="1"/>
  <c r="CW76" i="12" s="1"/>
  <c r="CW77" i="12" s="1"/>
  <c r="CW78" i="12" s="1"/>
  <c r="CW79" i="12" s="1"/>
  <c r="CW80" i="12" s="1"/>
  <c r="CW81" i="12" s="1"/>
  <c r="CW82" i="12" s="1"/>
  <c r="CW83" i="12" s="1"/>
  <c r="CW84" i="12" s="1"/>
  <c r="CW85" i="12" s="1"/>
  <c r="CW86" i="12" s="1"/>
  <c r="CW87" i="12" s="1"/>
  <c r="CW88" i="12" s="1"/>
  <c r="CW89" i="12" s="1"/>
  <c r="CW90" i="12" s="1"/>
  <c r="CW91" i="12" s="1"/>
  <c r="CW92" i="12" s="1"/>
  <c r="CW93" i="12" s="1"/>
  <c r="CW94" i="12" s="1"/>
  <c r="CW95" i="12" s="1"/>
  <c r="CW96" i="12" s="1"/>
  <c r="CW97" i="12" s="1"/>
  <c r="CW98" i="12" s="1"/>
  <c r="CW99" i="12" s="1"/>
  <c r="CW100" i="12" s="1"/>
  <c r="CW101" i="12" s="1"/>
  <c r="CW102" i="12" s="1"/>
  <c r="CW103" i="12" s="1"/>
  <c r="CW104" i="12" s="1"/>
  <c r="CW105" i="12" s="1"/>
  <c r="CW106" i="12" s="1"/>
  <c r="CW107" i="12" s="1"/>
  <c r="CW108" i="12" s="1"/>
  <c r="CW109" i="12" s="1"/>
  <c r="CW110" i="12" s="1"/>
  <c r="CW111" i="12" s="1"/>
  <c r="CW112" i="12" s="1"/>
  <c r="CW113" i="12" s="1"/>
  <c r="CW114" i="12" s="1"/>
  <c r="CW115" i="12" s="1"/>
  <c r="CW116" i="12" s="1"/>
  <c r="CW117" i="12" s="1"/>
  <c r="CW118" i="12" s="1"/>
  <c r="CW119" i="12" s="1"/>
  <c r="CW120" i="12" s="1"/>
  <c r="CW121" i="12" s="1"/>
  <c r="CW122" i="12" s="1"/>
  <c r="CW123" i="12" s="1"/>
  <c r="CW124" i="12" s="1"/>
  <c r="CW125" i="12" s="1"/>
  <c r="CW126" i="12" s="1"/>
  <c r="CW127" i="12" s="1"/>
  <c r="CW128" i="12" s="1"/>
  <c r="CW129" i="12" s="1"/>
  <c r="CW130" i="12" s="1"/>
  <c r="CW131" i="12" s="1"/>
  <c r="CW132" i="12" s="1"/>
  <c r="CW133" i="12" s="1"/>
  <c r="CW134" i="12" s="1"/>
  <c r="CW135" i="12" s="1"/>
  <c r="CW136" i="12" s="1"/>
  <c r="CW137" i="12" s="1"/>
  <c r="CW138" i="12" s="1"/>
  <c r="CW139" i="12" s="1"/>
  <c r="CW140" i="12" s="1"/>
  <c r="CW141" i="12" s="1"/>
  <c r="CW142" i="12" s="1"/>
  <c r="CW143" i="12" s="1"/>
  <c r="CW144" i="12" s="1"/>
  <c r="CW145" i="12" s="1"/>
  <c r="CW146" i="12" s="1"/>
  <c r="CW147" i="12" s="1"/>
  <c r="CW148" i="12" s="1"/>
  <c r="CW149" i="12" s="1"/>
  <c r="CW150" i="12" s="1"/>
  <c r="CW151" i="12" s="1"/>
  <c r="CW152" i="12" s="1"/>
  <c r="CW153" i="12" s="1"/>
  <c r="CW154" i="12" s="1"/>
  <c r="CW155" i="12" s="1"/>
  <c r="CW156" i="12" s="1"/>
  <c r="CW157" i="12" s="1"/>
  <c r="CW158" i="12" s="1"/>
  <c r="CW159" i="12" s="1"/>
  <c r="CW160" i="12" s="1"/>
  <c r="CW161" i="12" s="1"/>
  <c r="CW162" i="12" s="1"/>
  <c r="CW163" i="12" s="1"/>
  <c r="CW164" i="12" s="1"/>
  <c r="CW165" i="12" s="1"/>
  <c r="CW166" i="12" s="1"/>
  <c r="CW167" i="12" s="1"/>
  <c r="CW168" i="12" s="1"/>
  <c r="CW169" i="12" s="1"/>
  <c r="CW170" i="12" s="1"/>
  <c r="CW171" i="12" s="1"/>
  <c r="CW172" i="12" s="1"/>
  <c r="CW173" i="12" s="1"/>
  <c r="CW174" i="12" s="1"/>
  <c r="CW175" i="12" s="1"/>
  <c r="CW176" i="12" s="1"/>
  <c r="CW177" i="12" s="1"/>
  <c r="CW178" i="12" s="1"/>
  <c r="CW179" i="12" s="1"/>
  <c r="CW180" i="12" s="1"/>
  <c r="CW181" i="12" s="1"/>
  <c r="CW182" i="12" s="1"/>
  <c r="CW183" i="12" s="1"/>
  <c r="CW184" i="12" s="1"/>
  <c r="CW185" i="12" s="1"/>
  <c r="CW186" i="12" s="1"/>
  <c r="CW187" i="12" s="1"/>
  <c r="CW188" i="12" s="1"/>
  <c r="CW189" i="12" s="1"/>
  <c r="CW190" i="12" s="1"/>
  <c r="CW191" i="12" s="1"/>
  <c r="CW192" i="12" s="1"/>
  <c r="CW193" i="12" s="1"/>
  <c r="CW194" i="12" s="1"/>
  <c r="AQ64" i="12"/>
  <c r="AQ65" i="12" s="1"/>
  <c r="AQ66" i="12" s="1"/>
  <c r="AQ67" i="12" s="1"/>
  <c r="AQ68" i="12" s="1"/>
  <c r="AQ69" i="12" s="1"/>
  <c r="AQ70" i="12" s="1"/>
  <c r="AQ71" i="12" s="1"/>
  <c r="AQ72" i="12" s="1"/>
  <c r="E27" i="12"/>
  <c r="E27" i="10"/>
  <c r="E27" i="9"/>
  <c r="E28" i="8"/>
  <c r="C31" i="9"/>
  <c r="D41" i="12"/>
  <c r="C59" i="10"/>
  <c r="D57" i="12"/>
  <c r="C38" i="8"/>
  <c r="G45" i="17"/>
  <c r="G43" i="17"/>
  <c r="C44" i="8"/>
  <c r="C29" i="12"/>
  <c r="D40" i="8"/>
  <c r="D51" i="12"/>
  <c r="D34" i="8"/>
  <c r="C39" i="12"/>
  <c r="C58" i="8"/>
  <c r="C57" i="9"/>
  <c r="C59" i="12"/>
  <c r="D39" i="10"/>
  <c r="D52" i="8"/>
  <c r="C35" i="12"/>
  <c r="C41" i="10"/>
  <c r="D45" i="12"/>
  <c r="C53" i="12"/>
  <c r="D43" i="12"/>
  <c r="C47" i="12"/>
  <c r="G37" i="17"/>
  <c r="G55" i="17"/>
  <c r="D45" i="10"/>
  <c r="D47" i="9"/>
  <c r="D33" i="9"/>
  <c r="D53" i="9"/>
  <c r="C33" i="9"/>
  <c r="C29" i="9"/>
  <c r="C45" i="10"/>
  <c r="C57" i="10"/>
  <c r="D46" i="8"/>
  <c r="D47" i="10"/>
  <c r="D35" i="9"/>
  <c r="D30" i="8"/>
  <c r="C53" i="10"/>
  <c r="D55" i="10"/>
  <c r="G47" i="17"/>
  <c r="D59" i="9"/>
  <c r="G39" i="17"/>
  <c r="C45" i="12"/>
  <c r="C34" i="8"/>
  <c r="D47" i="12"/>
  <c r="D56" i="8"/>
  <c r="C49" i="9"/>
  <c r="G59" i="17"/>
  <c r="C59" i="9"/>
  <c r="D57" i="10"/>
  <c r="D55" i="12"/>
  <c r="C51" i="9"/>
  <c r="D35" i="10"/>
  <c r="G29" i="17"/>
  <c r="D33" i="10"/>
  <c r="C35" i="10"/>
  <c r="D49" i="12"/>
  <c r="D55" i="9"/>
  <c r="C57" i="12"/>
  <c r="D37" i="10"/>
  <c r="D41" i="9"/>
  <c r="D37" i="9"/>
  <c r="D53" i="10"/>
  <c r="C39" i="9"/>
  <c r="G53" i="17"/>
  <c r="D31" i="10"/>
  <c r="G31" i="17"/>
  <c r="D49" i="9"/>
  <c r="D37" i="12"/>
  <c r="D29" i="12"/>
  <c r="C33" i="12"/>
  <c r="D60" i="8"/>
  <c r="C55" i="9"/>
  <c r="G33" i="17"/>
  <c r="C46" i="8"/>
  <c r="C60" i="8"/>
  <c r="C30" i="8"/>
  <c r="C47" i="9"/>
  <c r="C48" i="8"/>
  <c r="D51" i="10"/>
  <c r="D43" i="10"/>
  <c r="G57" i="17"/>
  <c r="C37" i="9"/>
  <c r="C54" i="8"/>
  <c r="D59" i="12"/>
  <c r="D39" i="9"/>
  <c r="D33" i="12"/>
  <c r="C35" i="9"/>
  <c r="C32" i="8"/>
  <c r="D31" i="12"/>
  <c r="C39" i="10"/>
  <c r="C41" i="9"/>
  <c r="C53" i="9"/>
  <c r="D48" i="8"/>
  <c r="C40" i="8"/>
  <c r="G41" i="17"/>
  <c r="C33" i="10"/>
  <c r="C51" i="10"/>
  <c r="G35" i="17"/>
  <c r="D32" i="8"/>
  <c r="C52" i="8"/>
  <c r="D31" i="9"/>
  <c r="C47" i="10"/>
  <c r="D36" i="8"/>
  <c r="C45" i="9"/>
  <c r="C51" i="12"/>
  <c r="D53" i="12"/>
  <c r="C41" i="12"/>
  <c r="D49" i="10"/>
  <c r="G49" i="17"/>
  <c r="C29" i="10"/>
  <c r="C42" i="8"/>
  <c r="D51" i="9"/>
  <c r="D59" i="10"/>
  <c r="D39" i="12"/>
  <c r="D41" i="10"/>
  <c r="D54" i="8"/>
  <c r="C56" i="8"/>
  <c r="D45" i="9"/>
  <c r="D38" i="8"/>
  <c r="C36" i="8"/>
  <c r="D57" i="9"/>
  <c r="G51" i="17"/>
  <c r="D29" i="10"/>
  <c r="D43" i="9"/>
  <c r="C43" i="9"/>
  <c r="D35" i="12"/>
  <c r="C50" i="8"/>
  <c r="D44" i="8"/>
  <c r="I27" i="17" l="1"/>
  <c r="V11" i="12"/>
  <c r="V12" i="12" s="1"/>
  <c r="V13" i="12" s="1"/>
  <c r="V14" i="12" s="1"/>
  <c r="V15" i="12" s="1"/>
  <c r="V16" i="12" s="1"/>
  <c r="V17" i="12" s="1"/>
  <c r="V18" i="12" s="1"/>
  <c r="V19" i="12" s="1"/>
  <c r="V20" i="12" s="1"/>
  <c r="V21" i="12" s="1"/>
  <c r="V9" i="9"/>
  <c r="AQ73" i="12"/>
  <c r="AQ74" i="12" s="1"/>
  <c r="AQ75" i="12" s="1"/>
  <c r="AQ76" i="12" s="1"/>
  <c r="AQ77" i="12" s="1"/>
  <c r="AQ78" i="12" s="1"/>
  <c r="AQ79" i="12" s="1"/>
  <c r="AQ80" i="12" s="1"/>
  <c r="AQ81" i="12" s="1"/>
  <c r="AQ82" i="12" s="1"/>
  <c r="AQ83" i="12" s="1"/>
  <c r="AQ84" i="12" s="1"/>
  <c r="AQ85" i="12" s="1"/>
  <c r="AQ86" i="12" s="1"/>
  <c r="AQ87" i="12" s="1"/>
  <c r="AQ88" i="12" s="1"/>
  <c r="AQ89" i="12" s="1"/>
  <c r="AQ90" i="12" s="1"/>
  <c r="AQ91" i="12" s="1"/>
  <c r="AQ92" i="12" s="1"/>
  <c r="AQ93" i="12" s="1"/>
  <c r="AQ94" i="12" s="1"/>
  <c r="AQ95" i="12" s="1"/>
  <c r="AQ96" i="12" s="1"/>
  <c r="AQ97" i="12" s="1"/>
  <c r="AQ98" i="12" s="1"/>
  <c r="AQ99" i="12" s="1"/>
  <c r="AQ100" i="12" s="1"/>
  <c r="AQ101" i="12" s="1"/>
  <c r="AQ102" i="12" s="1"/>
  <c r="AQ103" i="12" s="1"/>
  <c r="AQ104" i="12" s="1"/>
  <c r="AQ105" i="12" s="1"/>
  <c r="AQ106" i="12" s="1"/>
  <c r="AQ107" i="12" s="1"/>
  <c r="AQ108" i="12" s="1"/>
  <c r="AQ109" i="12" s="1"/>
  <c r="AQ110" i="12" s="1"/>
  <c r="AQ111" i="12" s="1"/>
  <c r="AQ112" i="12" s="1"/>
  <c r="AQ113" i="12" s="1"/>
  <c r="AQ114" i="12" s="1"/>
  <c r="AQ115" i="12" s="1"/>
  <c r="AQ116" i="12" s="1"/>
  <c r="AQ117" i="12" s="1"/>
  <c r="AQ118" i="12" s="1"/>
  <c r="AQ119" i="12" s="1"/>
  <c r="AQ120" i="12" s="1"/>
  <c r="AQ121" i="12" s="1"/>
  <c r="AQ122" i="12" s="1"/>
  <c r="AQ123" i="12" s="1"/>
  <c r="AQ124" i="12" s="1"/>
  <c r="AQ125" i="12" s="1"/>
  <c r="AQ126" i="12" s="1"/>
  <c r="AQ127" i="12" s="1"/>
  <c r="AQ128" i="12" s="1"/>
  <c r="AQ129" i="12" s="1"/>
  <c r="AQ130" i="12" s="1"/>
  <c r="AQ131" i="12" s="1"/>
  <c r="AQ132" i="12" s="1"/>
  <c r="AQ133" i="12" s="1"/>
  <c r="AQ134" i="12" s="1"/>
  <c r="AQ135" i="12" s="1"/>
  <c r="AQ136" i="12" s="1"/>
  <c r="AQ137" i="12" s="1"/>
  <c r="AQ138" i="12" s="1"/>
  <c r="AQ139" i="12" s="1"/>
  <c r="AQ140" i="12" s="1"/>
  <c r="AQ141" i="12" s="1"/>
  <c r="AQ142" i="12" s="1"/>
  <c r="AQ143" i="12" s="1"/>
  <c r="AQ144" i="12" s="1"/>
  <c r="AQ145" i="12" s="1"/>
  <c r="AQ146" i="12" s="1"/>
  <c r="AQ147" i="12" s="1"/>
  <c r="AQ148" i="12" s="1"/>
  <c r="AQ149" i="12" s="1"/>
  <c r="AQ150" i="12" s="1"/>
  <c r="AQ151" i="12" s="1"/>
  <c r="AQ152" i="12" s="1"/>
  <c r="AQ153" i="12" s="1"/>
  <c r="AQ154" i="12" s="1"/>
  <c r="AQ155" i="12" s="1"/>
  <c r="AQ156" i="12" s="1"/>
  <c r="AQ157" i="12" s="1"/>
  <c r="AQ158" i="12" s="1"/>
  <c r="AQ159" i="12" s="1"/>
  <c r="AQ160" i="12" s="1"/>
  <c r="AQ161" i="12" s="1"/>
  <c r="AQ162" i="12" s="1"/>
  <c r="AQ163" i="12" s="1"/>
  <c r="AQ164" i="12" s="1"/>
  <c r="AQ165" i="12" s="1"/>
  <c r="AQ166" i="12" s="1"/>
  <c r="AQ167" i="12" s="1"/>
  <c r="AQ168" i="12" s="1"/>
  <c r="AQ169" i="12" s="1"/>
  <c r="AQ170" i="12" s="1"/>
  <c r="AQ171" i="12" s="1"/>
  <c r="AQ172" i="12" s="1"/>
  <c r="AQ173" i="12" s="1"/>
  <c r="AQ174" i="12" s="1"/>
  <c r="AQ175" i="12" s="1"/>
  <c r="AQ176" i="12" s="1"/>
  <c r="AQ177" i="12" s="1"/>
  <c r="AQ178" i="12" s="1"/>
  <c r="AQ179" i="12" s="1"/>
  <c r="AQ180" i="12" s="1"/>
  <c r="AQ181" i="12" s="1"/>
  <c r="AQ182" i="12" s="1"/>
  <c r="AQ183" i="12" s="1"/>
  <c r="AQ184" i="12" s="1"/>
  <c r="AQ185" i="12" s="1"/>
  <c r="AQ186" i="12" s="1"/>
  <c r="AQ187" i="12" s="1"/>
  <c r="AQ188" i="12" s="1"/>
  <c r="AQ189" i="12" s="1"/>
  <c r="AQ190" i="12" s="1"/>
  <c r="AQ191" i="12" s="1"/>
  <c r="AQ192" i="12" s="1"/>
  <c r="AQ193" i="12" s="1"/>
  <c r="AQ194" i="12" s="1"/>
  <c r="F27" i="12"/>
  <c r="F27" i="10"/>
  <c r="F27" i="9"/>
  <c r="F28" i="8"/>
  <c r="F64" i="1"/>
  <c r="D4" i="1"/>
  <c r="P17" i="4"/>
  <c r="P13" i="4"/>
  <c r="P14" i="4"/>
  <c r="P15" i="4"/>
  <c r="P16" i="4"/>
  <c r="P12" i="4"/>
  <c r="F48" i="1"/>
  <c r="F23" i="1"/>
  <c r="F22" i="1"/>
  <c r="F21" i="1"/>
  <c r="F20" i="1"/>
  <c r="F19" i="1"/>
  <c r="F17" i="1"/>
  <c r="F15" i="1"/>
  <c r="F13" i="1"/>
  <c r="F11" i="1"/>
  <c r="F9" i="1"/>
  <c r="F7" i="1"/>
  <c r="F5" i="1"/>
  <c r="F39" i="1"/>
  <c r="E27" i="8"/>
  <c r="H45" i="17"/>
  <c r="E44" i="8"/>
  <c r="B26" i="8"/>
  <c r="D25" i="9"/>
  <c r="D26" i="10"/>
  <c r="D25" i="10"/>
  <c r="G26" i="17"/>
  <c r="H31" i="17"/>
  <c r="H53" i="17"/>
  <c r="E43" i="9"/>
  <c r="C25" i="17"/>
  <c r="E45" i="9"/>
  <c r="H57" i="17"/>
  <c r="E30" i="8"/>
  <c r="H59" i="17"/>
  <c r="G25" i="17"/>
  <c r="E26" i="8"/>
  <c r="D29" i="9"/>
  <c r="B25" i="12"/>
  <c r="D26" i="12"/>
  <c r="E41" i="9"/>
  <c r="H41" i="17"/>
  <c r="E36" i="8"/>
  <c r="E25" i="9"/>
  <c r="E54" i="8"/>
  <c r="E31" i="10"/>
  <c r="B27" i="8"/>
  <c r="E52" i="8"/>
  <c r="E49" i="10"/>
  <c r="E39" i="9"/>
  <c r="E31" i="12"/>
  <c r="E59" i="10"/>
  <c r="F25" i="17"/>
  <c r="E25" i="12"/>
  <c r="D26" i="9"/>
  <c r="D25" i="17"/>
  <c r="F26" i="17"/>
  <c r="E49" i="12"/>
  <c r="E59" i="12"/>
  <c r="B26" i="9"/>
  <c r="C25" i="12"/>
  <c r="H49" i="17"/>
  <c r="E43" i="12"/>
  <c r="E33" i="9"/>
  <c r="C25" i="10"/>
  <c r="E45" i="10"/>
  <c r="B26" i="17"/>
  <c r="E31" i="9"/>
  <c r="C26" i="12"/>
  <c r="E51" i="12"/>
  <c r="E35" i="12"/>
  <c r="E37" i="12"/>
  <c r="E29" i="9"/>
  <c r="E57" i="9"/>
  <c r="E26" i="9"/>
  <c r="E35" i="9"/>
  <c r="E49" i="9"/>
  <c r="E47" i="12"/>
  <c r="E53" i="12"/>
  <c r="E55" i="10"/>
  <c r="E26" i="10"/>
  <c r="D25" i="12"/>
  <c r="E26" i="17"/>
  <c r="E47" i="10"/>
  <c r="E38" i="8"/>
  <c r="H25" i="17"/>
  <c r="C26" i="10"/>
  <c r="E35" i="10"/>
  <c r="E46" i="8"/>
  <c r="E53" i="10"/>
  <c r="H35" i="17"/>
  <c r="E59" i="9"/>
  <c r="E33" i="10"/>
  <c r="E25" i="10"/>
  <c r="D27" i="8"/>
  <c r="E32" i="8"/>
  <c r="E56" i="8"/>
  <c r="E51" i="10"/>
  <c r="E39" i="10"/>
  <c r="E55" i="9"/>
  <c r="B26" i="10"/>
  <c r="B26" i="12"/>
  <c r="H51" i="17"/>
  <c r="E39" i="12"/>
  <c r="E42" i="8"/>
  <c r="E48" i="8"/>
  <c r="E26" i="12"/>
  <c r="C26" i="17"/>
  <c r="E47" i="9"/>
  <c r="H55" i="17"/>
  <c r="E45" i="12"/>
  <c r="E43" i="10"/>
  <c r="C27" i="8"/>
  <c r="C25" i="9"/>
  <c r="E33" i="12"/>
  <c r="E57" i="12"/>
  <c r="B25" i="10"/>
  <c r="C26" i="9"/>
  <c r="E53" i="9"/>
  <c r="H37" i="17"/>
  <c r="B25" i="17"/>
  <c r="E37" i="10"/>
  <c r="D26" i="8"/>
  <c r="D26" i="17"/>
  <c r="E55" i="12"/>
  <c r="H26" i="17"/>
  <c r="H33" i="17"/>
  <c r="E37" i="9"/>
  <c r="E51" i="9"/>
  <c r="H39" i="17"/>
  <c r="E57" i="10"/>
  <c r="C26" i="8"/>
  <c r="E34" i="8"/>
  <c r="H29" i="17"/>
  <c r="E40" i="8"/>
  <c r="E58" i="8"/>
  <c r="E50" i="8"/>
  <c r="E41" i="12"/>
  <c r="E60" i="8"/>
  <c r="E29" i="12"/>
  <c r="H47" i="17"/>
  <c r="E41" i="10"/>
  <c r="E25" i="17"/>
  <c r="B25" i="9"/>
  <c r="E29" i="10"/>
  <c r="H43" i="17"/>
  <c r="J27" i="17" l="1"/>
  <c r="V10" i="9"/>
  <c r="V11" i="9" s="1"/>
  <c r="V12" i="9" s="1"/>
  <c r="V13" i="9" s="1"/>
  <c r="V14" i="9" s="1"/>
  <c r="V15" i="9" s="1"/>
  <c r="V16" i="9" s="1"/>
  <c r="V17" i="9" s="1"/>
  <c r="V18" i="9" s="1"/>
  <c r="V19" i="9" s="1"/>
  <c r="V20" i="9" s="1"/>
  <c r="V21" i="9" s="1"/>
  <c r="G27" i="12"/>
  <c r="G27" i="10"/>
  <c r="G27" i="9"/>
  <c r="G28" i="8"/>
  <c r="F59" i="12"/>
  <c r="F26" i="12"/>
  <c r="F58" i="8"/>
  <c r="F48" i="8"/>
  <c r="F39" i="10"/>
  <c r="I33" i="17"/>
  <c r="F39" i="12"/>
  <c r="F35" i="10"/>
  <c r="F30" i="8"/>
  <c r="F27" i="8"/>
  <c r="F53" i="12"/>
  <c r="F47" i="10"/>
  <c r="F49" i="9"/>
  <c r="F39" i="9"/>
  <c r="F40" i="8"/>
  <c r="F47" i="9"/>
  <c r="F47" i="12"/>
  <c r="F41" i="12"/>
  <c r="F43" i="9"/>
  <c r="F26" i="10"/>
  <c r="F38" i="8"/>
  <c r="F57" i="10"/>
  <c r="F26" i="8"/>
  <c r="I43" i="17"/>
  <c r="F29" i="12"/>
  <c r="F59" i="9"/>
  <c r="F44" i="8"/>
  <c r="I53" i="17"/>
  <c r="F59" i="10"/>
  <c r="F35" i="9"/>
  <c r="F51" i="12"/>
  <c r="F57" i="12"/>
  <c r="I35" i="17"/>
  <c r="F29" i="10"/>
  <c r="I41" i="17"/>
  <c r="F32" i="8"/>
  <c r="F37" i="9"/>
  <c r="F46" i="8"/>
  <c r="F33" i="12"/>
  <c r="F37" i="10"/>
  <c r="F31" i="12"/>
  <c r="F34" i="8"/>
  <c r="I29" i="17"/>
  <c r="F43" i="10"/>
  <c r="F55" i="9"/>
  <c r="I49" i="17"/>
  <c r="F26" i="9"/>
  <c r="F60" i="8"/>
  <c r="F37" i="12"/>
  <c r="I51" i="17"/>
  <c r="I25" i="17"/>
  <c r="F51" i="10"/>
  <c r="I57" i="17"/>
  <c r="I45" i="17"/>
  <c r="F54" i="8"/>
  <c r="F31" i="9"/>
  <c r="F45" i="12"/>
  <c r="F49" i="12"/>
  <c r="F36" i="8"/>
  <c r="F55" i="12"/>
  <c r="F41" i="9"/>
  <c r="F49" i="10"/>
  <c r="F35" i="12"/>
  <c r="F42" i="8"/>
  <c r="F33" i="10"/>
  <c r="I37" i="17"/>
  <c r="F45" i="10"/>
  <c r="I47" i="17"/>
  <c r="F51" i="9"/>
  <c r="F25" i="9"/>
  <c r="F45" i="9"/>
  <c r="F33" i="9"/>
  <c r="F53" i="10"/>
  <c r="F52" i="8"/>
  <c r="I55" i="17"/>
  <c r="F57" i="9"/>
  <c r="I26" i="17"/>
  <c r="F43" i="12"/>
  <c r="F55" i="10"/>
  <c r="I59" i="17"/>
  <c r="F50" i="8"/>
  <c r="F29" i="9"/>
  <c r="F53" i="9"/>
  <c r="F25" i="10"/>
  <c r="F56" i="8"/>
  <c r="F31" i="10"/>
  <c r="I39" i="17"/>
  <c r="F41" i="10"/>
  <c r="F25" i="12"/>
  <c r="I31" i="17"/>
  <c r="K27" i="17" l="1"/>
  <c r="H27" i="12"/>
  <c r="H27" i="10"/>
  <c r="H27" i="9"/>
  <c r="H28" i="8"/>
  <c r="G30" i="8"/>
  <c r="G59" i="10"/>
  <c r="G57" i="12"/>
  <c r="G56" i="8"/>
  <c r="J25" i="17"/>
  <c r="J45" i="17"/>
  <c r="G51" i="10"/>
  <c r="G26" i="9"/>
  <c r="G33" i="9"/>
  <c r="G29" i="9"/>
  <c r="G35" i="10"/>
  <c r="G43" i="10"/>
  <c r="G48" i="8"/>
  <c r="G32" i="8"/>
  <c r="G49" i="12"/>
  <c r="G55" i="12"/>
  <c r="G49" i="9"/>
  <c r="J47" i="17"/>
  <c r="G43" i="9"/>
  <c r="G53" i="10"/>
  <c r="G47" i="9"/>
  <c r="J51" i="17"/>
  <c r="G59" i="12"/>
  <c r="G35" i="12"/>
  <c r="G31" i="12"/>
  <c r="G45" i="10"/>
  <c r="G39" i="12"/>
  <c r="G29" i="12"/>
  <c r="G29" i="10"/>
  <c r="G25" i="9"/>
  <c r="G51" i="12"/>
  <c r="J33" i="17"/>
  <c r="G25" i="12"/>
  <c r="J59" i="17"/>
  <c r="J55" i="17"/>
  <c r="J53" i="17"/>
  <c r="J29" i="17"/>
  <c r="G41" i="10"/>
  <c r="J57" i="17"/>
  <c r="G47" i="12"/>
  <c r="G55" i="10"/>
  <c r="G45" i="9"/>
  <c r="G27" i="8"/>
  <c r="G49" i="10"/>
  <c r="J43" i="17"/>
  <c r="J26" i="17"/>
  <c r="G46" i="8"/>
  <c r="G34" i="8"/>
  <c r="J41" i="17"/>
  <c r="G39" i="9"/>
  <c r="G36" i="8"/>
  <c r="J39" i="17"/>
  <c r="G42" i="8"/>
  <c r="G26" i="10"/>
  <c r="G38" i="8"/>
  <c r="G26" i="12"/>
  <c r="G26" i="8"/>
  <c r="G33" i="10"/>
  <c r="G45" i="12"/>
  <c r="G40" i="8"/>
  <c r="G44" i="8"/>
  <c r="G59" i="9"/>
  <c r="G35" i="9"/>
  <c r="G53" i="12"/>
  <c r="G37" i="12"/>
  <c r="G43" i="12"/>
  <c r="G51" i="9"/>
  <c r="J31" i="17"/>
  <c r="G25" i="10"/>
  <c r="G47" i="10"/>
  <c r="G58" i="8"/>
  <c r="G41" i="9"/>
  <c r="G53" i="9"/>
  <c r="G57" i="9"/>
  <c r="G52" i="8"/>
  <c r="G31" i="10"/>
  <c r="G31" i="9"/>
  <c r="G37" i="10"/>
  <c r="G60" i="8"/>
  <c r="G37" i="9"/>
  <c r="G41" i="12"/>
  <c r="G55" i="9"/>
  <c r="G50" i="8"/>
  <c r="J35" i="17"/>
  <c r="G39" i="10"/>
  <c r="G33" i="12"/>
  <c r="G54" i="8"/>
  <c r="J37" i="17"/>
  <c r="G57" i="10"/>
  <c r="J49" i="17"/>
  <c r="L27" i="17" l="1"/>
  <c r="I27" i="12"/>
  <c r="I27" i="10"/>
  <c r="I27" i="9"/>
  <c r="I28" i="8"/>
  <c r="H58" i="8"/>
  <c r="H57" i="12"/>
  <c r="K51" i="17"/>
  <c r="H26" i="10"/>
  <c r="H27" i="8"/>
  <c r="H39" i="9"/>
  <c r="H35" i="10"/>
  <c r="K53" i="17"/>
  <c r="H34" i="8"/>
  <c r="K59" i="17"/>
  <c r="H29" i="12"/>
  <c r="K25" i="17"/>
  <c r="K45" i="17"/>
  <c r="H53" i="12"/>
  <c r="H54" i="8"/>
  <c r="H42" i="8"/>
  <c r="H31" i="10"/>
  <c r="H33" i="10"/>
  <c r="H60" i="8"/>
  <c r="H41" i="10"/>
  <c r="H53" i="10"/>
  <c r="H50" i="8"/>
  <c r="K55" i="17"/>
  <c r="H30" i="8"/>
  <c r="H40" i="8"/>
  <c r="H44" i="8"/>
  <c r="H48" i="8"/>
  <c r="H57" i="10"/>
  <c r="H45" i="12"/>
  <c r="K29" i="17"/>
  <c r="H32" i="8"/>
  <c r="H41" i="9"/>
  <c r="H37" i="12"/>
  <c r="K26" i="17"/>
  <c r="H49" i="10"/>
  <c r="H37" i="9"/>
  <c r="H36" i="8"/>
  <c r="K35" i="17"/>
  <c r="H25" i="10"/>
  <c r="H39" i="10"/>
  <c r="H59" i="10"/>
  <c r="H31" i="12"/>
  <c r="H26" i="8"/>
  <c r="H47" i="12"/>
  <c r="H51" i="9"/>
  <c r="H55" i="12"/>
  <c r="H51" i="12"/>
  <c r="H47" i="9"/>
  <c r="H53" i="9"/>
  <c r="H33" i="9"/>
  <c r="H38" i="8"/>
  <c r="H55" i="10"/>
  <c r="H25" i="12"/>
  <c r="H35" i="12"/>
  <c r="H47" i="10"/>
  <c r="H55" i="9"/>
  <c r="H35" i="9"/>
  <c r="K57" i="17"/>
  <c r="K37" i="17"/>
  <c r="K33" i="17"/>
  <c r="K43" i="17"/>
  <c r="H29" i="10"/>
  <c r="H43" i="12"/>
  <c r="K47" i="17"/>
  <c r="H45" i="9"/>
  <c r="H46" i="8"/>
  <c r="K49" i="17"/>
  <c r="H52" i="8"/>
  <c r="H49" i="12"/>
  <c r="H49" i="9"/>
  <c r="H43" i="9"/>
  <c r="H31" i="9"/>
  <c r="H57" i="9"/>
  <c r="H26" i="12"/>
  <c r="H43" i="10"/>
  <c r="H29" i="9"/>
  <c r="H37" i="10"/>
  <c r="H51" i="10"/>
  <c r="H25" i="9"/>
  <c r="H26" i="9"/>
  <c r="K31" i="17"/>
  <c r="H33" i="12"/>
  <c r="H39" i="12"/>
  <c r="K41" i="17"/>
  <c r="H59" i="12"/>
  <c r="H59" i="9"/>
  <c r="H41" i="12"/>
  <c r="H45" i="10"/>
  <c r="H56" i="8"/>
  <c r="K39" i="17"/>
  <c r="M27" i="17" l="1"/>
  <c r="J27" i="12"/>
  <c r="J27" i="10"/>
  <c r="J27" i="9"/>
  <c r="J28" i="8"/>
  <c r="I41" i="10"/>
  <c r="I44" i="8"/>
  <c r="I35" i="10"/>
  <c r="I47" i="12"/>
  <c r="I53" i="10"/>
  <c r="I52" i="8"/>
  <c r="I45" i="10"/>
  <c r="I37" i="9"/>
  <c r="L25" i="17"/>
  <c r="I57" i="10"/>
  <c r="I26" i="10"/>
  <c r="I31" i="12"/>
  <c r="I54" i="8"/>
  <c r="L55" i="17"/>
  <c r="I33" i="9"/>
  <c r="L31" i="17"/>
  <c r="I47" i="9"/>
  <c r="L59" i="17"/>
  <c r="I49" i="10"/>
  <c r="L57" i="17"/>
  <c r="I26" i="8"/>
  <c r="I45" i="9"/>
  <c r="I56" i="8"/>
  <c r="I29" i="12"/>
  <c r="I58" i="8"/>
  <c r="I39" i="12"/>
  <c r="I30" i="8"/>
  <c r="I40" i="8"/>
  <c r="L43" i="17"/>
  <c r="I32" i="8"/>
  <c r="I55" i="9"/>
  <c r="I48" i="8"/>
  <c r="I25" i="12"/>
  <c r="L33" i="17"/>
  <c r="L53" i="17"/>
  <c r="L35" i="17"/>
  <c r="L45" i="17"/>
  <c r="I57" i="9"/>
  <c r="I38" i="8"/>
  <c r="I55" i="12"/>
  <c r="I25" i="9"/>
  <c r="I29" i="10"/>
  <c r="I51" i="12"/>
  <c r="I59" i="9"/>
  <c r="I49" i="9"/>
  <c r="I36" i="8"/>
  <c r="I39" i="9"/>
  <c r="I29" i="9"/>
  <c r="I60" i="8"/>
  <c r="I59" i="12"/>
  <c r="L51" i="17"/>
  <c r="I45" i="12"/>
  <c r="I33" i="12"/>
  <c r="I49" i="12"/>
  <c r="I53" i="9"/>
  <c r="I42" i="8"/>
  <c r="L26" i="17"/>
  <c r="I35" i="9"/>
  <c r="I57" i="12"/>
  <c r="I41" i="12"/>
  <c r="I53" i="12"/>
  <c r="I43" i="9"/>
  <c r="I26" i="12"/>
  <c r="I43" i="12"/>
  <c r="L29" i="17"/>
  <c r="I37" i="10"/>
  <c r="I46" i="8"/>
  <c r="L41" i="17"/>
  <c r="I59" i="10"/>
  <c r="I31" i="9"/>
  <c r="I55" i="10"/>
  <c r="I50" i="8"/>
  <c r="I25" i="10"/>
  <c r="L47" i="17"/>
  <c r="I34" i="8"/>
  <c r="I31" i="10"/>
  <c r="I51" i="9"/>
  <c r="I47" i="10"/>
  <c r="I35" i="12"/>
  <c r="L49" i="17"/>
  <c r="L37" i="17"/>
  <c r="I43" i="10"/>
  <c r="L39" i="17"/>
  <c r="I39" i="10"/>
  <c r="I41" i="9"/>
  <c r="I33" i="10"/>
  <c r="I37" i="12"/>
  <c r="I26" i="9"/>
  <c r="I51" i="10"/>
  <c r="I27" i="8"/>
  <c r="N27" i="17" l="1"/>
  <c r="K27" i="12"/>
  <c r="K27" i="10"/>
  <c r="K27" i="9"/>
  <c r="K28" i="8"/>
  <c r="J26" i="8"/>
  <c r="J37" i="12"/>
  <c r="J43" i="9"/>
  <c r="J57" i="12"/>
  <c r="J58" i="8"/>
  <c r="J46" i="8"/>
  <c r="J53" i="10"/>
  <c r="J41" i="12"/>
  <c r="J25" i="9"/>
  <c r="J59" i="12"/>
  <c r="J27" i="8"/>
  <c r="J55" i="9"/>
  <c r="J29" i="12"/>
  <c r="J29" i="10"/>
  <c r="M26" i="17"/>
  <c r="J25" i="10"/>
  <c r="J33" i="12"/>
  <c r="J54" i="8"/>
  <c r="J37" i="9"/>
  <c r="J39" i="10"/>
  <c r="J36" i="8"/>
  <c r="J42" i="8"/>
  <c r="J43" i="10"/>
  <c r="J59" i="9"/>
  <c r="J53" i="9"/>
  <c r="J44" i="8"/>
  <c r="J41" i="10"/>
  <c r="J31" i="9"/>
  <c r="J40" i="8"/>
  <c r="J55" i="10"/>
  <c r="J55" i="12"/>
  <c r="J45" i="10"/>
  <c r="J32" i="8"/>
  <c r="J43" i="12"/>
  <c r="J29" i="9"/>
  <c r="J45" i="12"/>
  <c r="J47" i="12"/>
  <c r="J49" i="9"/>
  <c r="J35" i="12"/>
  <c r="J37" i="10"/>
  <c r="J59" i="10"/>
  <c r="J57" i="10"/>
  <c r="J31" i="10"/>
  <c r="J47" i="9"/>
  <c r="J51" i="12"/>
  <c r="J35" i="10"/>
  <c r="J49" i="12"/>
  <c r="J25" i="12"/>
  <c r="J56" i="8"/>
  <c r="J33" i="9"/>
  <c r="J33" i="10"/>
  <c r="J31" i="12"/>
  <c r="J26" i="10"/>
  <c r="J39" i="9"/>
  <c r="J51" i="10"/>
  <c r="J52" i="8"/>
  <c r="J30" i="8"/>
  <c r="J35" i="9"/>
  <c r="J39" i="12"/>
  <c r="J38" i="8"/>
  <c r="M25" i="17"/>
  <c r="J34" i="8"/>
  <c r="J45" i="9"/>
  <c r="J26" i="12"/>
  <c r="J53" i="12"/>
  <c r="J26" i="9"/>
  <c r="J47" i="10"/>
  <c r="J50" i="8"/>
  <c r="J57" i="9"/>
  <c r="J48" i="8"/>
  <c r="J51" i="9"/>
  <c r="J60" i="8"/>
  <c r="J49" i="10"/>
  <c r="O27" i="17" l="1"/>
  <c r="L27" i="12"/>
  <c r="L27" i="10"/>
  <c r="L27" i="9"/>
  <c r="L28" i="8"/>
  <c r="K41" i="12"/>
  <c r="K53" i="10"/>
  <c r="K55" i="10"/>
  <c r="K49" i="9"/>
  <c r="K57" i="12"/>
  <c r="K55" i="12"/>
  <c r="K29" i="12"/>
  <c r="K44" i="8"/>
  <c r="K33" i="10"/>
  <c r="K49" i="12"/>
  <c r="K45" i="10"/>
  <c r="K43" i="12"/>
  <c r="K34" i="8"/>
  <c r="K25" i="10"/>
  <c r="K49" i="10"/>
  <c r="K31" i="9"/>
  <c r="K39" i="12"/>
  <c r="K45" i="12"/>
  <c r="K31" i="12"/>
  <c r="K36" i="8"/>
  <c r="K27" i="8"/>
  <c r="K59" i="10"/>
  <c r="K56" i="8"/>
  <c r="K51" i="10"/>
  <c r="K50" i="8"/>
  <c r="K51" i="9"/>
  <c r="K53" i="12"/>
  <c r="N25" i="17"/>
  <c r="K26" i="10"/>
  <c r="K32" i="8"/>
  <c r="K41" i="10"/>
  <c r="K35" i="9"/>
  <c r="K25" i="12"/>
  <c r="K53" i="9"/>
  <c r="K26" i="8"/>
  <c r="K59" i="12"/>
  <c r="K35" i="10"/>
  <c r="K33" i="9"/>
  <c r="K40" i="8"/>
  <c r="K35" i="12"/>
  <c r="K55" i="9"/>
  <c r="K37" i="12"/>
  <c r="K47" i="9"/>
  <c r="K47" i="10"/>
  <c r="K25" i="9"/>
  <c r="K41" i="9"/>
  <c r="K43" i="9"/>
  <c r="K48" i="8"/>
  <c r="K52" i="8"/>
  <c r="K58" i="8"/>
  <c r="K38" i="8"/>
  <c r="K59" i="9"/>
  <c r="J41" i="9"/>
  <c r="K26" i="12"/>
  <c r="K42" i="8"/>
  <c r="K60" i="8"/>
  <c r="K43" i="10"/>
  <c r="N26" i="17"/>
  <c r="K47" i="12"/>
  <c r="K39" i="10"/>
  <c r="K31" i="10"/>
  <c r="K57" i="9"/>
  <c r="K37" i="10"/>
  <c r="K26" i="9"/>
  <c r="K57" i="10"/>
  <c r="K29" i="9"/>
  <c r="K33" i="12"/>
  <c r="K30" i="8"/>
  <c r="K51" i="12"/>
  <c r="K45" i="9"/>
  <c r="K54" i="8"/>
  <c r="K29" i="10"/>
  <c r="K46" i="8"/>
  <c r="K39" i="9"/>
  <c r="K37" i="9"/>
  <c r="P27" i="17" l="1"/>
  <c r="M27" i="12"/>
  <c r="M27" i="10"/>
  <c r="M27" i="9"/>
  <c r="M28" i="8"/>
  <c r="L52" i="8"/>
  <c r="O26" i="17"/>
  <c r="L57" i="12"/>
  <c r="L34" i="8"/>
  <c r="L49" i="10"/>
  <c r="L37" i="10"/>
  <c r="L41" i="12"/>
  <c r="O25" i="17"/>
  <c r="L42" i="8"/>
  <c r="L45" i="9"/>
  <c r="L47" i="12"/>
  <c r="L31" i="10"/>
  <c r="L39" i="10"/>
  <c r="L47" i="9"/>
  <c r="L57" i="10"/>
  <c r="L53" i="10"/>
  <c r="L31" i="12"/>
  <c r="L55" i="10"/>
  <c r="L49" i="12"/>
  <c r="L51" i="10"/>
  <c r="L53" i="9"/>
  <c r="L37" i="12"/>
  <c r="L26" i="10"/>
  <c r="L56" i="8"/>
  <c r="L43" i="12"/>
  <c r="L36" i="8"/>
  <c r="L54" i="8"/>
  <c r="L33" i="12"/>
  <c r="L45" i="12"/>
  <c r="L29" i="10"/>
  <c r="L30" i="8"/>
  <c r="L55" i="9"/>
  <c r="L29" i="12"/>
  <c r="L31" i="9"/>
  <c r="L26" i="12"/>
  <c r="L41" i="9"/>
  <c r="L43" i="9"/>
  <c r="L32" i="8"/>
  <c r="L60" i="8"/>
  <c r="L48" i="8"/>
  <c r="L39" i="12"/>
  <c r="L53" i="12"/>
  <c r="L59" i="12"/>
  <c r="L25" i="12"/>
  <c r="L47" i="10"/>
  <c r="L51" i="9"/>
  <c r="L33" i="10"/>
  <c r="L58" i="8"/>
  <c r="L38" i="8"/>
  <c r="L39" i="9"/>
  <c r="L59" i="9"/>
  <c r="L44" i="8"/>
  <c r="L26" i="8"/>
  <c r="L50" i="8"/>
  <c r="L27" i="8"/>
  <c r="L55" i="12"/>
  <c r="L41" i="10"/>
  <c r="L40" i="8"/>
  <c r="L57" i="9"/>
  <c r="L26" i="9"/>
  <c r="L35" i="12"/>
  <c r="L29" i="9"/>
  <c r="L35" i="9"/>
  <c r="L46" i="8"/>
  <c r="L49" i="9"/>
  <c r="L43" i="10"/>
  <c r="L35" i="10"/>
  <c r="L51" i="12"/>
  <c r="L45" i="10"/>
  <c r="L59" i="10"/>
  <c r="L25" i="10"/>
  <c r="L33" i="9"/>
  <c r="L37" i="9"/>
  <c r="Q27" i="17" l="1"/>
  <c r="N27" i="12"/>
  <c r="N27" i="10"/>
  <c r="N27" i="9"/>
  <c r="N28" i="8"/>
  <c r="L25" i="9"/>
  <c r="M26" i="9"/>
  <c r="P26" i="17"/>
  <c r="M26" i="12"/>
  <c r="P25" i="17"/>
  <c r="M26" i="10"/>
  <c r="M26" i="8"/>
  <c r="M27" i="8"/>
  <c r="M25" i="9"/>
  <c r="M25" i="10"/>
  <c r="M25" i="12"/>
  <c r="R27" i="17" l="1"/>
  <c r="O27" i="12"/>
  <c r="O27" i="10"/>
  <c r="O27" i="9"/>
  <c r="O28" i="8"/>
  <c r="N26" i="9"/>
  <c r="Q26" i="17"/>
  <c r="N26" i="10"/>
  <c r="N26" i="8"/>
  <c r="N25" i="10"/>
  <c r="N25" i="9"/>
  <c r="Q25" i="17"/>
  <c r="N25" i="12"/>
  <c r="N26" i="12"/>
  <c r="N27" i="8"/>
  <c r="S27" i="17" l="1"/>
  <c r="P27" i="12"/>
  <c r="P27" i="10"/>
  <c r="P27" i="9"/>
  <c r="P28" i="8"/>
  <c r="R26" i="17"/>
  <c r="O25" i="12"/>
  <c r="O26" i="12"/>
  <c r="O25" i="10"/>
  <c r="O27" i="8"/>
  <c r="O26" i="9"/>
  <c r="O26" i="10"/>
  <c r="O26" i="8"/>
  <c r="R25" i="17"/>
  <c r="T27" i="17" l="1"/>
  <c r="Q27" i="12"/>
  <c r="Q27" i="10"/>
  <c r="Q27" i="9"/>
  <c r="Q28" i="8"/>
  <c r="P27" i="8"/>
  <c r="P26" i="8"/>
  <c r="P25" i="12"/>
  <c r="S25" i="17"/>
  <c r="S26" i="17"/>
  <c r="P25" i="10"/>
  <c r="P26" i="10"/>
  <c r="O25" i="9"/>
  <c r="P26" i="9"/>
  <c r="P26" i="12"/>
  <c r="P25" i="9"/>
  <c r="U27" i="17" l="1"/>
  <c r="R27" i="12"/>
  <c r="R27" i="10"/>
  <c r="R27" i="9"/>
  <c r="R28" i="8"/>
  <c r="Q27" i="8"/>
  <c r="Q25" i="12"/>
  <c r="Q26" i="10"/>
  <c r="Q26" i="12"/>
  <c r="T25" i="17"/>
  <c r="Q26" i="9"/>
  <c r="Q26" i="8"/>
  <c r="T26" i="17"/>
  <c r="Q25" i="10"/>
  <c r="V27" i="17" l="1"/>
  <c r="S27" i="12"/>
  <c r="S27" i="10"/>
  <c r="S27" i="9"/>
  <c r="S28" i="8"/>
  <c r="U31" i="17"/>
  <c r="U47" i="17"/>
  <c r="U25" i="17"/>
  <c r="R25" i="12"/>
  <c r="U41" i="17"/>
  <c r="R26" i="10"/>
  <c r="U51" i="17"/>
  <c r="R26" i="9"/>
  <c r="U29" i="17"/>
  <c r="R27" i="8"/>
  <c r="U35" i="17"/>
  <c r="U57" i="17"/>
  <c r="R25" i="9"/>
  <c r="U26" i="17"/>
  <c r="R26" i="12"/>
  <c r="R25" i="10"/>
  <c r="U43" i="17"/>
  <c r="U55" i="17"/>
  <c r="U37" i="17"/>
  <c r="U59" i="17"/>
  <c r="U49" i="17"/>
  <c r="U33" i="17"/>
  <c r="U39" i="17"/>
  <c r="R26" i="8"/>
  <c r="U45" i="17"/>
  <c r="Q25" i="9"/>
  <c r="U53" i="17"/>
  <c r="W27" i="17" l="1"/>
  <c r="T27" i="12"/>
  <c r="T27" i="10"/>
  <c r="T27" i="9"/>
  <c r="T28" i="8"/>
  <c r="V59" i="17"/>
  <c r="S26" i="9"/>
  <c r="S25" i="10"/>
  <c r="S26" i="8"/>
  <c r="V25" i="17"/>
  <c r="V37" i="17"/>
  <c r="V35" i="17"/>
  <c r="S26" i="10"/>
  <c r="S25" i="9"/>
  <c r="V57" i="17"/>
  <c r="V47" i="17"/>
  <c r="V49" i="17"/>
  <c r="V53" i="17"/>
  <c r="V43" i="17"/>
  <c r="V26" i="17"/>
  <c r="V45" i="17"/>
  <c r="S25" i="12"/>
  <c r="S27" i="8"/>
  <c r="V39" i="17"/>
  <c r="V31" i="17"/>
  <c r="V41" i="17"/>
  <c r="V51" i="17"/>
  <c r="S26" i="12"/>
  <c r="V55" i="17"/>
  <c r="V33" i="17"/>
  <c r="V29" i="17"/>
  <c r="X27" i="17" l="1"/>
  <c r="U27" i="12"/>
  <c r="U27" i="10"/>
  <c r="U27" i="9"/>
  <c r="U28" i="8"/>
  <c r="W25" i="17"/>
  <c r="W29" i="17"/>
  <c r="W47" i="17"/>
  <c r="W31" i="17"/>
  <c r="W45" i="17"/>
  <c r="W41" i="17"/>
  <c r="W59" i="17"/>
  <c r="W26" i="17"/>
  <c r="T27" i="8"/>
  <c r="T25" i="9"/>
  <c r="W35" i="17"/>
  <c r="T25" i="10"/>
  <c r="W39" i="17"/>
  <c r="T25" i="12"/>
  <c r="W51" i="17"/>
  <c r="W43" i="17"/>
  <c r="T26" i="10"/>
  <c r="T26" i="8"/>
  <c r="W33" i="17"/>
  <c r="T26" i="12"/>
  <c r="T26" i="9"/>
  <c r="W55" i="17"/>
  <c r="W53" i="17"/>
  <c r="W49" i="17"/>
  <c r="W37" i="17"/>
  <c r="W57" i="17"/>
  <c r="Y27" i="17" l="1"/>
  <c r="V27" i="12"/>
  <c r="V27" i="10"/>
  <c r="V27" i="9"/>
  <c r="V28" i="8"/>
  <c r="X41" i="17"/>
  <c r="X45" i="17"/>
  <c r="U33" i="12"/>
  <c r="U59" i="12"/>
  <c r="U60" i="8"/>
  <c r="X25" i="17"/>
  <c r="U54" i="8"/>
  <c r="X43" i="17"/>
  <c r="U48" i="8"/>
  <c r="X49" i="17"/>
  <c r="U31" i="9"/>
  <c r="U25" i="12"/>
  <c r="U25" i="10"/>
  <c r="U43" i="12"/>
  <c r="U35" i="10"/>
  <c r="U49" i="10"/>
  <c r="U33" i="10"/>
  <c r="U35" i="12"/>
  <c r="U41" i="10"/>
  <c r="U53" i="9"/>
  <c r="U40" i="8"/>
  <c r="U59" i="9"/>
  <c r="U56" i="8"/>
  <c r="U53" i="10"/>
  <c r="U43" i="10"/>
  <c r="U47" i="12"/>
  <c r="U37" i="10"/>
  <c r="U31" i="10"/>
  <c r="X53" i="17"/>
  <c r="U30" i="8"/>
  <c r="U29" i="10"/>
  <c r="U26" i="8"/>
  <c r="U37" i="9"/>
  <c r="X35" i="17"/>
  <c r="X51" i="17"/>
  <c r="U53" i="12"/>
  <c r="U43" i="9"/>
  <c r="U42" i="8"/>
  <c r="U50" i="8"/>
  <c r="U51" i="9"/>
  <c r="U29" i="9"/>
  <c r="X47" i="17"/>
  <c r="U45" i="9"/>
  <c r="X57" i="17"/>
  <c r="U51" i="12"/>
  <c r="U58" i="8"/>
  <c r="U57" i="9"/>
  <c r="U31" i="12"/>
  <c r="U29" i="12"/>
  <c r="U35" i="9"/>
  <c r="U41" i="9"/>
  <c r="U26" i="9"/>
  <c r="U47" i="10"/>
  <c r="X37" i="17"/>
  <c r="U55" i="12"/>
  <c r="U38" i="8"/>
  <c r="X26" i="17"/>
  <c r="U55" i="10"/>
  <c r="X39" i="17"/>
  <c r="U27" i="8"/>
  <c r="U44" i="8"/>
  <c r="U55" i="9"/>
  <c r="U52" i="8"/>
  <c r="U39" i="12"/>
  <c r="X29" i="17"/>
  <c r="U39" i="10"/>
  <c r="U49" i="9"/>
  <c r="X31" i="17"/>
  <c r="U36" i="8"/>
  <c r="U37" i="12"/>
  <c r="U39" i="9"/>
  <c r="U46" i="8"/>
  <c r="U45" i="12"/>
  <c r="U26" i="12"/>
  <c r="U41" i="12"/>
  <c r="U34" i="8"/>
  <c r="U51" i="10"/>
  <c r="U32" i="8"/>
  <c r="U47" i="9"/>
  <c r="U59" i="10"/>
  <c r="U45" i="10"/>
  <c r="U57" i="12"/>
  <c r="X33" i="17"/>
  <c r="U49" i="12"/>
  <c r="U26" i="10"/>
  <c r="X55" i="17"/>
  <c r="U25" i="9"/>
  <c r="U57" i="10"/>
  <c r="U33" i="9"/>
  <c r="X59" i="17"/>
  <c r="Z27" i="17" l="1"/>
  <c r="W27" i="12"/>
  <c r="W27" i="10"/>
  <c r="W27" i="9"/>
  <c r="W28" i="8"/>
  <c r="V35" i="12"/>
  <c r="Y25" i="17"/>
  <c r="V57" i="9"/>
  <c r="V53" i="9"/>
  <c r="V58" i="8"/>
  <c r="V29" i="9"/>
  <c r="V38" i="8"/>
  <c r="V32" i="8"/>
  <c r="V59" i="12"/>
  <c r="V43" i="12"/>
  <c r="V51" i="12"/>
  <c r="V52" i="8"/>
  <c r="V29" i="12"/>
  <c r="V53" i="10"/>
  <c r="V39" i="10"/>
  <c r="V26" i="10"/>
  <c r="V49" i="12"/>
  <c r="V25" i="12"/>
  <c r="V34" i="8"/>
  <c r="V31" i="12"/>
  <c r="V41" i="9"/>
  <c r="V25" i="10"/>
  <c r="V49" i="9"/>
  <c r="V35" i="9"/>
  <c r="V33" i="9"/>
  <c r="V27" i="8"/>
  <c r="V26" i="12"/>
  <c r="V31" i="10"/>
  <c r="V50" i="8"/>
  <c r="V55" i="10"/>
  <c r="V60" i="8"/>
  <c r="Y26" i="17"/>
  <c r="V56" i="8"/>
  <c r="V51" i="10"/>
  <c r="V40" i="8"/>
  <c r="V48" i="8"/>
  <c r="V57" i="10"/>
  <c r="V33" i="10"/>
  <c r="V59" i="9"/>
  <c r="V43" i="10"/>
  <c r="V41" i="12"/>
  <c r="V39" i="12"/>
  <c r="V57" i="12"/>
  <c r="V29" i="10"/>
  <c r="V43" i="9"/>
  <c r="V37" i="9"/>
  <c r="V39" i="9"/>
  <c r="V53" i="12"/>
  <c r="V45" i="10"/>
  <c r="V37" i="10"/>
  <c r="V42" i="8"/>
  <c r="V25" i="9"/>
  <c r="V35" i="10"/>
  <c r="L6" i="17"/>
  <c r="V54" i="8"/>
  <c r="V41" i="10"/>
  <c r="V26" i="9"/>
  <c r="V45" i="12"/>
  <c r="V49" i="10"/>
  <c r="V59" i="10"/>
  <c r="V51" i="9"/>
  <c r="V47" i="9"/>
  <c r="V30" i="8"/>
  <c r="V47" i="12"/>
  <c r="V37" i="12"/>
  <c r="V47" i="10"/>
  <c r="V31" i="9"/>
  <c r="V44" i="8"/>
  <c r="V45" i="9"/>
  <c r="V46" i="8"/>
  <c r="V55" i="9"/>
  <c r="V33" i="12"/>
  <c r="V26" i="8"/>
  <c r="V55" i="12"/>
  <c r="V36" i="8"/>
  <c r="B22" i="17" l="1"/>
  <c r="AA27" i="17"/>
  <c r="X27" i="12"/>
  <c r="X27" i="10"/>
  <c r="X27" i="9"/>
  <c r="X28" i="8"/>
  <c r="W53" i="12"/>
  <c r="W47" i="10"/>
  <c r="W44" i="8"/>
  <c r="W31" i="9"/>
  <c r="W57" i="12"/>
  <c r="W25" i="12"/>
  <c r="W39" i="10"/>
  <c r="W50" i="8"/>
  <c r="W46" i="8"/>
  <c r="W26" i="10"/>
  <c r="W34" i="8"/>
  <c r="W29" i="9"/>
  <c r="W55" i="9"/>
  <c r="W40" i="8"/>
  <c r="Z26" i="17"/>
  <c r="W36" i="8"/>
  <c r="W42" i="8"/>
  <c r="W33" i="12"/>
  <c r="W31" i="12"/>
  <c r="W43" i="12"/>
  <c r="W30" i="8"/>
  <c r="W26" i="9"/>
  <c r="W53" i="9"/>
  <c r="W55" i="12"/>
  <c r="W47" i="9"/>
  <c r="W47" i="12"/>
  <c r="W49" i="12"/>
  <c r="W41" i="10"/>
  <c r="W49" i="10"/>
  <c r="W41" i="12"/>
  <c r="W45" i="10"/>
  <c r="W53" i="10"/>
  <c r="W29" i="12"/>
  <c r="W55" i="10"/>
  <c r="W51" i="10"/>
  <c r="W39" i="9"/>
  <c r="W59" i="9"/>
  <c r="W25" i="10"/>
  <c r="W32" i="8"/>
  <c r="W38" i="8"/>
  <c r="W35" i="10"/>
  <c r="Z25" i="17"/>
  <c r="W45" i="12"/>
  <c r="W49" i="9"/>
  <c r="W37" i="9"/>
  <c r="W33" i="10"/>
  <c r="W52" i="8"/>
  <c r="W57" i="10"/>
  <c r="W27" i="8"/>
  <c r="W26" i="12"/>
  <c r="W59" i="10"/>
  <c r="W33" i="9"/>
  <c r="W35" i="12"/>
  <c r="W60" i="8"/>
  <c r="W59" i="12"/>
  <c r="W58" i="8"/>
  <c r="W54" i="8"/>
  <c r="W43" i="10"/>
  <c r="W56" i="8"/>
  <c r="W45" i="9"/>
  <c r="W51" i="9"/>
  <c r="W25" i="9"/>
  <c r="W31" i="10"/>
  <c r="W41" i="9"/>
  <c r="W57" i="9"/>
  <c r="W48" i="8"/>
  <c r="W51" i="12"/>
  <c r="W37" i="10"/>
  <c r="W29" i="10"/>
  <c r="W39" i="12"/>
  <c r="W37" i="12"/>
  <c r="W35" i="9"/>
  <c r="W43" i="9"/>
  <c r="W26" i="8"/>
  <c r="AB27" i="17" l="1"/>
  <c r="Y27" i="12"/>
  <c r="Y27" i="10"/>
  <c r="Y27" i="9"/>
  <c r="Y28" i="8"/>
  <c r="X53" i="9"/>
  <c r="X33" i="12"/>
  <c r="X26" i="9"/>
  <c r="X52" i="8"/>
  <c r="X59" i="9"/>
  <c r="X37" i="12"/>
  <c r="X35" i="10"/>
  <c r="X41" i="9"/>
  <c r="X29" i="9"/>
  <c r="X41" i="12"/>
  <c r="X25" i="9"/>
  <c r="X57" i="9"/>
  <c r="X57" i="10"/>
  <c r="X29" i="12"/>
  <c r="X48" i="8"/>
  <c r="X59" i="12"/>
  <c r="X43" i="9"/>
  <c r="X43" i="12"/>
  <c r="X26" i="12"/>
  <c r="X49" i="12"/>
  <c r="X57" i="12"/>
  <c r="X30" i="8"/>
  <c r="X46" i="8"/>
  <c r="X31" i="9"/>
  <c r="X39" i="12"/>
  <c r="X32" i="8"/>
  <c r="X55" i="12"/>
  <c r="X49" i="9"/>
  <c r="X59" i="10"/>
  <c r="X26" i="10"/>
  <c r="X35" i="9"/>
  <c r="X56" i="8"/>
  <c r="X37" i="9"/>
  <c r="X51" i="10"/>
  <c r="X31" i="10"/>
  <c r="X51" i="12"/>
  <c r="X34" i="8"/>
  <c r="AA26" i="17"/>
  <c r="X49" i="10"/>
  <c r="X35" i="12"/>
  <c r="X45" i="10"/>
  <c r="X36" i="8"/>
  <c r="X53" i="12"/>
  <c r="X40" i="8"/>
  <c r="X31" i="12"/>
  <c r="X54" i="8"/>
  <c r="X43" i="10"/>
  <c r="X50" i="8"/>
  <c r="X55" i="9"/>
  <c r="X37" i="10"/>
  <c r="X45" i="12"/>
  <c r="AA25" i="17"/>
  <c r="X29" i="10"/>
  <c r="X44" i="8"/>
  <c r="X47" i="9"/>
  <c r="X60" i="8"/>
  <c r="X47" i="10"/>
  <c r="X39" i="10"/>
  <c r="X27" i="8"/>
  <c r="X42" i="8"/>
  <c r="X33" i="9"/>
  <c r="X39" i="9"/>
  <c r="X58" i="8"/>
  <c r="X55" i="10"/>
  <c r="X25" i="12"/>
  <c r="X25" i="10"/>
  <c r="X41" i="10"/>
  <c r="X38" i="8"/>
  <c r="X33" i="10"/>
  <c r="X51" i="9"/>
  <c r="X47" i="12"/>
  <c r="X45" i="9"/>
  <c r="X26" i="8"/>
  <c r="X53" i="10"/>
  <c r="AC27" i="17" l="1"/>
  <c r="Z27" i="12"/>
  <c r="Z27" i="10"/>
  <c r="Z27" i="9"/>
  <c r="Z28" i="8"/>
  <c r="L8" i="12"/>
  <c r="Y26" i="8"/>
  <c r="L7" i="12"/>
  <c r="L9" i="12"/>
  <c r="Y25" i="10"/>
  <c r="L6" i="10"/>
  <c r="L6" i="9"/>
  <c r="Y25" i="12"/>
  <c r="L8" i="9"/>
  <c r="Y26" i="10"/>
  <c r="Y26" i="9"/>
  <c r="AB25" i="17"/>
  <c r="L9" i="9"/>
  <c r="Y25" i="9"/>
  <c r="Y26" i="12"/>
  <c r="Y27" i="8"/>
  <c r="AB26" i="17"/>
  <c r="L10" i="12"/>
  <c r="B22" i="10" l="1"/>
  <c r="AD27" i="17"/>
  <c r="AA27" i="12"/>
  <c r="AA27" i="10"/>
  <c r="AA27" i="9"/>
  <c r="AA28" i="8"/>
  <c r="Z27" i="8"/>
  <c r="L7" i="9"/>
  <c r="Z26" i="12"/>
  <c r="B22" i="9" l="1"/>
  <c r="Z26" i="8"/>
  <c r="L6" i="12"/>
  <c r="Z25" i="12"/>
  <c r="Z26" i="10"/>
  <c r="AC26" i="17"/>
  <c r="Z26" i="9"/>
  <c r="AC25" i="17"/>
  <c r="Z25" i="10"/>
  <c r="Z25" i="9"/>
  <c r="B22" i="12" l="1"/>
  <c r="AE27" i="17"/>
  <c r="AB27" i="12"/>
  <c r="AB27" i="10"/>
  <c r="AB27" i="9"/>
  <c r="AB28" i="8"/>
  <c r="AA26" i="8"/>
  <c r="AD26" i="17"/>
  <c r="AA26" i="9"/>
  <c r="AD25" i="17"/>
  <c r="AA26" i="10"/>
  <c r="AA25" i="10"/>
  <c r="AA27" i="8"/>
  <c r="AA25" i="12"/>
  <c r="AA26" i="12"/>
  <c r="AA25" i="9"/>
  <c r="AF27" i="17" l="1"/>
  <c r="AC27" i="12"/>
  <c r="AC27" i="10"/>
  <c r="AC27" i="9"/>
  <c r="AC28" i="8"/>
  <c r="AB26" i="10"/>
  <c r="AE25" i="17"/>
  <c r="AB25" i="9"/>
  <c r="AB25" i="12"/>
  <c r="AB27" i="8"/>
  <c r="AB26" i="8"/>
  <c r="AE26" i="17"/>
  <c r="AB25" i="10"/>
  <c r="AB26" i="9"/>
  <c r="AB26" i="12"/>
  <c r="AG27" i="17" l="1"/>
  <c r="AD27" i="12"/>
  <c r="AD27" i="10"/>
  <c r="AD27" i="9"/>
  <c r="AD28" i="8"/>
  <c r="AC26" i="8"/>
  <c r="AC26" i="9"/>
  <c r="AC26" i="12"/>
  <c r="AC25" i="10"/>
  <c r="AF26" i="17"/>
  <c r="AF25" i="17"/>
  <c r="AC25" i="12"/>
  <c r="AC26" i="10"/>
  <c r="AC25" i="9"/>
  <c r="AC27" i="8"/>
  <c r="AH27" i="17" l="1"/>
  <c r="AE27" i="12"/>
  <c r="AE27" i="10"/>
  <c r="AE27" i="9"/>
  <c r="AE28" i="8"/>
  <c r="AD27" i="8"/>
  <c r="AD26" i="12"/>
  <c r="AD25" i="12"/>
  <c r="AD25" i="9"/>
  <c r="AG26" i="17"/>
  <c r="AD26" i="8"/>
  <c r="AD26" i="10"/>
  <c r="AD26" i="9"/>
  <c r="AD25" i="10"/>
  <c r="AG25" i="17"/>
  <c r="AI27" i="17" l="1"/>
  <c r="AF27" i="12"/>
  <c r="AF27" i="10"/>
  <c r="AF27" i="9"/>
  <c r="AF28" i="8"/>
  <c r="AE26" i="8"/>
  <c r="AE26" i="12"/>
  <c r="AE25" i="10"/>
  <c r="AH26" i="17"/>
  <c r="AH25" i="17"/>
  <c r="AE26" i="9"/>
  <c r="AE27" i="8"/>
  <c r="AE26" i="10"/>
  <c r="AE25" i="12"/>
  <c r="AE25" i="9"/>
  <c r="AJ27" i="17" l="1"/>
  <c r="AG27" i="12"/>
  <c r="AG27" i="10"/>
  <c r="AG27" i="9"/>
  <c r="AG28" i="8"/>
  <c r="AF26" i="12"/>
  <c r="AF25" i="12"/>
  <c r="AI25" i="17"/>
  <c r="AF26" i="9"/>
  <c r="AF27" i="8"/>
  <c r="AI26" i="17"/>
  <c r="AF26" i="10"/>
  <c r="AF25" i="10"/>
  <c r="AF26" i="8"/>
  <c r="AF25" i="9"/>
  <c r="AK27" i="17" l="1"/>
  <c r="AH27" i="12"/>
  <c r="AH27" i="10"/>
  <c r="AH27" i="9"/>
  <c r="AH28" i="8"/>
  <c r="AG26" i="8"/>
  <c r="AJ26" i="17"/>
  <c r="AG26" i="9"/>
  <c r="AG25" i="10"/>
  <c r="AJ25" i="17"/>
  <c r="AG27" i="8"/>
  <c r="AG26" i="12"/>
  <c r="AG25" i="12"/>
  <c r="AG26" i="10"/>
  <c r="AG25" i="9"/>
  <c r="AL27" i="17" l="1"/>
  <c r="AI27" i="12"/>
  <c r="AI27" i="10"/>
  <c r="AI27" i="9"/>
  <c r="AI28" i="8"/>
  <c r="AH26" i="10"/>
  <c r="AK25" i="17"/>
  <c r="AH26" i="12"/>
  <c r="AH25" i="12"/>
  <c r="AH26" i="8"/>
  <c r="AH27" i="8"/>
  <c r="AH25" i="10"/>
  <c r="AH25" i="9"/>
  <c r="AK26" i="17"/>
  <c r="AH26" i="9"/>
  <c r="AM27" i="17" l="1"/>
  <c r="AJ27" i="12"/>
  <c r="AJ27" i="10"/>
  <c r="AJ27" i="9"/>
  <c r="AJ28" i="8"/>
  <c r="AI25" i="12"/>
  <c r="AI25" i="9"/>
  <c r="AL26" i="17"/>
  <c r="AL25" i="17"/>
  <c r="AI26" i="8"/>
  <c r="AI25" i="10"/>
  <c r="AI27" i="8"/>
  <c r="AI26" i="12"/>
  <c r="AI26" i="10"/>
  <c r="AN27" i="17" l="1"/>
  <c r="AK27" i="12"/>
  <c r="AK27" i="10"/>
  <c r="AK27" i="9"/>
  <c r="AK28" i="8"/>
  <c r="AM26" i="17"/>
  <c r="AJ27" i="8"/>
  <c r="AJ25" i="10"/>
  <c r="AI26" i="9"/>
  <c r="AJ25" i="9"/>
  <c r="AJ26" i="8"/>
  <c r="AJ25" i="12"/>
  <c r="AJ26" i="12"/>
  <c r="AJ26" i="10"/>
  <c r="AM25" i="17"/>
  <c r="AJ26" i="9"/>
  <c r="AO27" i="17" l="1"/>
  <c r="AL27" i="12"/>
  <c r="AL27" i="10"/>
  <c r="AL27" i="9"/>
  <c r="AL28" i="8"/>
  <c r="AN26" i="17"/>
  <c r="AN25" i="17"/>
  <c r="AK26" i="9"/>
  <c r="AK25" i="9"/>
  <c r="AK26" i="10"/>
  <c r="AK25" i="10"/>
  <c r="AK25" i="12"/>
  <c r="AK26" i="8"/>
  <c r="AK27" i="8"/>
  <c r="AK26" i="12"/>
  <c r="AP27" i="17" l="1"/>
  <c r="AM27" i="12"/>
  <c r="AM27" i="10"/>
  <c r="AM27" i="9"/>
  <c r="AM28" i="8"/>
  <c r="AL26" i="8"/>
  <c r="AL25" i="9"/>
  <c r="AO26" i="17"/>
  <c r="AO25" i="17"/>
  <c r="AL25" i="10"/>
  <c r="AL27" i="8"/>
  <c r="AL26" i="10"/>
  <c r="AL26" i="9"/>
  <c r="AL26" i="12"/>
  <c r="AL25" i="12"/>
  <c r="AQ27" i="17" l="1"/>
  <c r="AN27" i="12"/>
  <c r="AN27" i="10"/>
  <c r="AN27" i="9"/>
  <c r="AN28" i="8"/>
  <c r="AM26" i="8"/>
  <c r="AM26" i="10"/>
  <c r="AP26" i="17"/>
  <c r="AM25" i="12"/>
  <c r="AM27" i="8"/>
  <c r="AM26" i="9"/>
  <c r="AP25" i="17"/>
  <c r="AM26" i="12"/>
  <c r="AM25" i="9"/>
  <c r="AM25" i="10"/>
  <c r="AR27" i="17" l="1"/>
  <c r="AO27" i="12"/>
  <c r="AO27" i="10"/>
  <c r="AO27" i="9"/>
  <c r="AO28" i="8"/>
  <c r="AN27" i="8"/>
  <c r="AN26" i="10"/>
  <c r="AN26" i="12"/>
  <c r="AN26" i="9"/>
  <c r="AN26" i="8"/>
  <c r="AQ26" i="17"/>
  <c r="AN25" i="12"/>
  <c r="AN25" i="9"/>
  <c r="AN25" i="10"/>
  <c r="AQ25" i="17"/>
  <c r="AS27" i="17" l="1"/>
  <c r="AP27" i="12"/>
  <c r="AP27" i="10"/>
  <c r="AP27" i="9"/>
  <c r="AP28" i="8"/>
  <c r="AO26" i="8"/>
  <c r="AR26" i="17"/>
  <c r="AO27" i="8"/>
  <c r="AO25" i="10"/>
  <c r="AO26" i="9"/>
  <c r="AO25" i="12"/>
  <c r="AO26" i="10"/>
  <c r="AO26" i="12"/>
  <c r="AO25" i="9"/>
  <c r="AR25" i="17"/>
  <c r="AT27" i="17" l="1"/>
  <c r="AQ27" i="12"/>
  <c r="AQ27" i="10"/>
  <c r="AQ27" i="9"/>
  <c r="AQ28" i="8"/>
  <c r="AP25" i="10"/>
  <c r="AS25" i="17"/>
  <c r="AP25" i="9"/>
  <c r="AP26" i="12"/>
  <c r="AP26" i="9"/>
  <c r="AP26" i="8"/>
  <c r="AP25" i="12"/>
  <c r="AP27" i="8"/>
  <c r="AS26" i="17"/>
  <c r="AP26" i="10"/>
  <c r="AU27" i="17" l="1"/>
  <c r="AR27" i="12"/>
  <c r="AR27" i="10"/>
  <c r="AR27" i="9"/>
  <c r="AR28" i="8"/>
  <c r="AQ26" i="12"/>
  <c r="AQ25" i="12"/>
  <c r="AQ26" i="10"/>
  <c r="AT25" i="17"/>
  <c r="AT26" i="17"/>
  <c r="AQ27" i="8"/>
  <c r="AQ26" i="8"/>
  <c r="AQ26" i="9"/>
  <c r="AQ25" i="10"/>
  <c r="AQ25" i="9"/>
  <c r="AV27" i="17" l="1"/>
  <c r="AS27" i="12"/>
  <c r="AS27" i="10"/>
  <c r="AS27" i="9"/>
  <c r="AS28" i="8"/>
  <c r="AR25" i="9"/>
  <c r="AU25" i="17"/>
  <c r="AR26" i="12"/>
  <c r="AR26" i="8"/>
  <c r="AR27" i="8"/>
  <c r="AU26" i="17"/>
  <c r="AR25" i="10"/>
  <c r="AR25" i="12"/>
  <c r="AR26" i="10"/>
  <c r="AR26" i="9"/>
  <c r="AW27" i="17" l="1"/>
  <c r="AT27" i="12"/>
  <c r="AT27" i="10"/>
  <c r="AT27" i="9"/>
  <c r="AT28" i="8"/>
  <c r="AS26" i="10"/>
  <c r="AV26" i="17"/>
  <c r="AS25" i="10"/>
  <c r="AS25" i="9"/>
  <c r="AS26" i="8"/>
  <c r="AS27" i="8"/>
  <c r="AS25" i="12"/>
  <c r="AV25" i="17"/>
  <c r="AS26" i="12"/>
  <c r="AS26" i="9"/>
  <c r="AX27" i="17" l="1"/>
  <c r="AU27" i="12"/>
  <c r="AU27" i="10"/>
  <c r="AU27" i="9"/>
  <c r="AU28" i="8"/>
  <c r="AT25" i="10"/>
  <c r="AT25" i="12"/>
  <c r="AW26" i="17"/>
  <c r="AT26" i="9"/>
  <c r="AT27" i="8"/>
  <c r="AW25" i="17"/>
  <c r="AT26" i="8"/>
  <c r="AT26" i="10"/>
  <c r="AT25" i="9"/>
  <c r="AT26" i="12"/>
  <c r="AY27" i="17" l="1"/>
  <c r="AV27" i="12"/>
  <c r="AV27" i="10"/>
  <c r="AV27" i="9"/>
  <c r="AV28" i="8"/>
  <c r="AU26" i="10"/>
  <c r="AX26" i="17"/>
  <c r="AU26" i="12"/>
  <c r="AU26" i="9"/>
  <c r="AU25" i="10"/>
  <c r="AX25" i="17"/>
  <c r="AU25" i="9"/>
  <c r="AU25" i="12"/>
  <c r="AU27" i="8"/>
  <c r="AU26" i="8"/>
  <c r="AZ27" i="17" l="1"/>
  <c r="AW27" i="12"/>
  <c r="AW27" i="10"/>
  <c r="AW27" i="9"/>
  <c r="AW28" i="8"/>
  <c r="AY25" i="17"/>
  <c r="AV26" i="9"/>
  <c r="AV27" i="8"/>
  <c r="AV25" i="9"/>
  <c r="AV26" i="8"/>
  <c r="AV25" i="12"/>
  <c r="AY26" i="17"/>
  <c r="AV25" i="10"/>
  <c r="AV26" i="10"/>
  <c r="AV26" i="12"/>
  <c r="BA27" i="17" l="1"/>
  <c r="AX27" i="12"/>
  <c r="AX27" i="10"/>
  <c r="AX27" i="9"/>
  <c r="AX28" i="8"/>
  <c r="AW26" i="8"/>
  <c r="AW26" i="9"/>
  <c r="AW26" i="10"/>
  <c r="AW25" i="9"/>
  <c r="AW25" i="12"/>
  <c r="AW26" i="12"/>
  <c r="AZ25" i="17"/>
  <c r="AZ26" i="17"/>
  <c r="AW27" i="8"/>
  <c r="AW25" i="10"/>
  <c r="BB27" i="17" l="1"/>
  <c r="AY27" i="12"/>
  <c r="AY27" i="10"/>
  <c r="AY27" i="9"/>
  <c r="AY28" i="8"/>
  <c r="AX25" i="10"/>
  <c r="AX27" i="8"/>
  <c r="AX25" i="12"/>
  <c r="AX26" i="12"/>
  <c r="AX26" i="10"/>
  <c r="BA26" i="17"/>
  <c r="AX26" i="9"/>
  <c r="AX25" i="9"/>
  <c r="BA25" i="17"/>
  <c r="AX26" i="8"/>
  <c r="BC27" i="17" l="1"/>
  <c r="AZ27" i="12"/>
  <c r="AZ27" i="10"/>
  <c r="AZ27" i="9"/>
  <c r="AZ28" i="8"/>
  <c r="AY25" i="12"/>
  <c r="AY25" i="10"/>
  <c r="AY25" i="9"/>
  <c r="AY27" i="8"/>
  <c r="BB26" i="17"/>
  <c r="AY26" i="12"/>
  <c r="AY26" i="10"/>
  <c r="BB25" i="17"/>
  <c r="AY26" i="8"/>
  <c r="AY26" i="9"/>
  <c r="BD27" i="17" l="1"/>
  <c r="BA27" i="12"/>
  <c r="BA27" i="10"/>
  <c r="BA27" i="9"/>
  <c r="BA28" i="8"/>
  <c r="AZ26" i="12"/>
  <c r="AZ26" i="8"/>
  <c r="AZ25" i="10"/>
  <c r="AZ25" i="9"/>
  <c r="AZ26" i="10"/>
  <c r="AZ25" i="12"/>
  <c r="BC26" i="17"/>
  <c r="AZ27" i="8"/>
  <c r="BC25" i="17"/>
  <c r="BE27" i="17" l="1"/>
  <c r="BB27" i="12"/>
  <c r="BB27" i="10"/>
  <c r="BB27" i="9"/>
  <c r="BB28" i="8"/>
  <c r="BA26" i="8"/>
  <c r="BA26" i="12"/>
  <c r="BD26" i="17"/>
  <c r="BA25" i="12"/>
  <c r="BA26" i="9"/>
  <c r="BA26" i="10"/>
  <c r="BA27" i="8"/>
  <c r="AZ26" i="9"/>
  <c r="BA25" i="9"/>
  <c r="BA25" i="10"/>
  <c r="BD25" i="17"/>
  <c r="BF27" i="17" l="1"/>
  <c r="BC27" i="12"/>
  <c r="BC27" i="10"/>
  <c r="BC27" i="9"/>
  <c r="BC28" i="8"/>
  <c r="BB26" i="10"/>
  <c r="BB26" i="8"/>
  <c r="BB27" i="8"/>
  <c r="BE26" i="17"/>
  <c r="BB25" i="9"/>
  <c r="BE25" i="17"/>
  <c r="BB26" i="9"/>
  <c r="BB26" i="12"/>
  <c r="BB25" i="10"/>
  <c r="BB25" i="12"/>
  <c r="BG27" i="17" l="1"/>
  <c r="BD27" i="12"/>
  <c r="BE27" i="12" s="1"/>
  <c r="BD27" i="10"/>
  <c r="BE27" i="10" s="1"/>
  <c r="BD27" i="9"/>
  <c r="BE27" i="9" s="1"/>
  <c r="BD28" i="8"/>
  <c r="BE28" i="8" s="1"/>
  <c r="BC26" i="8"/>
  <c r="BD26" i="9"/>
  <c r="BF26" i="17"/>
  <c r="BD25" i="9"/>
  <c r="BD26" i="8"/>
  <c r="BD25" i="10"/>
  <c r="BC25" i="9"/>
  <c r="BC27" i="8"/>
  <c r="BC26" i="12"/>
  <c r="BF25" i="17"/>
  <c r="BD27" i="8"/>
  <c r="BD26" i="10"/>
  <c r="BC25" i="10"/>
  <c r="BC26" i="10"/>
  <c r="BC25" i="12"/>
  <c r="BC26" i="9"/>
  <c r="BH27" i="17" l="1"/>
  <c r="BF27" i="10"/>
  <c r="BF27" i="12"/>
  <c r="BF27" i="9"/>
  <c r="BF28" i="8"/>
  <c r="BE26" i="9"/>
  <c r="BE26" i="8"/>
  <c r="BG25" i="17"/>
  <c r="BE26" i="12"/>
  <c r="BG26" i="17"/>
  <c r="BE25" i="12"/>
  <c r="BD25" i="12"/>
  <c r="BE25" i="10"/>
  <c r="BE26" i="10"/>
  <c r="BE27" i="8"/>
  <c r="BD26" i="12"/>
  <c r="BI27" i="17" l="1"/>
  <c r="BG27" i="10"/>
  <c r="BG27" i="12"/>
  <c r="BG27" i="9"/>
  <c r="BG28" i="8"/>
  <c r="BF27" i="8"/>
  <c r="BF26" i="10"/>
  <c r="BF26" i="8"/>
  <c r="BF25" i="10"/>
  <c r="BF25" i="12"/>
  <c r="BF26" i="12"/>
  <c r="BE25" i="9"/>
  <c r="BH26" i="17"/>
  <c r="BF25" i="9"/>
  <c r="BH25" i="17"/>
  <c r="BJ27" i="17" l="1"/>
  <c r="BH27" i="10"/>
  <c r="BH27" i="12"/>
  <c r="BH27" i="9"/>
  <c r="BH28" i="8"/>
  <c r="BG26" i="9"/>
  <c r="BI26" i="17"/>
  <c r="BG27" i="8"/>
  <c r="BG26" i="8"/>
  <c r="BG25" i="10"/>
  <c r="BG26" i="10"/>
  <c r="BG26" i="12"/>
  <c r="BG25" i="9"/>
  <c r="BG25" i="12"/>
  <c r="BI25" i="17"/>
  <c r="BF26" i="9"/>
  <c r="BK27" i="17" l="1"/>
  <c r="BI27" i="10"/>
  <c r="BI27" i="12"/>
  <c r="BI27" i="9"/>
  <c r="BI28" i="8"/>
  <c r="BH26" i="12"/>
  <c r="BH26" i="8"/>
  <c r="BJ25" i="17"/>
  <c r="BH26" i="9"/>
  <c r="BJ26" i="17"/>
  <c r="BH25" i="12"/>
  <c r="BH25" i="10"/>
  <c r="BH27" i="8"/>
  <c r="BH26" i="10"/>
  <c r="BL27" i="17" l="1"/>
  <c r="BJ27" i="10"/>
  <c r="BJ27" i="12"/>
  <c r="BJ27" i="9"/>
  <c r="BJ28" i="8"/>
  <c r="BI25" i="10"/>
  <c r="BI25" i="12"/>
  <c r="BI26" i="8"/>
  <c r="BH25" i="9"/>
  <c r="BI26" i="10"/>
  <c r="BI27" i="8"/>
  <c r="BI26" i="9"/>
  <c r="BK26" i="17"/>
  <c r="BK25" i="17"/>
  <c r="BI26" i="12"/>
  <c r="BI25" i="9"/>
  <c r="BM27" i="17" l="1"/>
  <c r="BK27" i="10"/>
  <c r="BK27" i="12"/>
  <c r="BK27" i="9"/>
  <c r="BK28" i="8"/>
  <c r="BJ27" i="8"/>
  <c r="BJ26" i="9"/>
  <c r="BJ26" i="12"/>
  <c r="BJ26" i="8"/>
  <c r="BJ26" i="10"/>
  <c r="BJ25" i="9"/>
  <c r="BJ25" i="12"/>
  <c r="BJ25" i="10"/>
  <c r="BL26" i="17"/>
  <c r="BL25" i="17"/>
  <c r="BN27" i="17" l="1"/>
  <c r="BL27" i="10"/>
  <c r="BL27" i="12"/>
  <c r="BL27" i="9"/>
  <c r="BL28" i="8"/>
  <c r="BM25" i="17"/>
  <c r="BK26" i="10"/>
  <c r="BK27" i="8"/>
  <c r="BK25" i="9"/>
  <c r="BK25" i="10"/>
  <c r="BM26" i="17"/>
  <c r="BK25" i="12"/>
  <c r="BK26" i="8"/>
  <c r="BK26" i="9"/>
  <c r="BK26" i="12"/>
  <c r="BO27" i="17" l="1"/>
  <c r="BM27" i="10"/>
  <c r="BM27" i="12"/>
  <c r="BM27" i="9"/>
  <c r="BM28" i="8"/>
  <c r="BL25" i="12"/>
  <c r="BL26" i="12"/>
  <c r="BL25" i="9"/>
  <c r="BL26" i="9"/>
  <c r="BL25" i="10"/>
  <c r="BL27" i="8"/>
  <c r="BN25" i="17"/>
  <c r="BL26" i="8"/>
  <c r="BN26" i="17"/>
  <c r="BL26" i="10"/>
  <c r="BP27" i="17" l="1"/>
  <c r="BN27" i="10"/>
  <c r="BN27" i="12"/>
  <c r="BN27" i="9"/>
  <c r="BN28" i="8"/>
  <c r="BM25" i="12"/>
  <c r="BM26" i="10"/>
  <c r="BM25" i="9"/>
  <c r="BM25" i="10"/>
  <c r="BM26" i="8"/>
  <c r="BM26" i="12"/>
  <c r="BO26" i="17"/>
  <c r="BM26" i="9"/>
  <c r="BM27" i="8"/>
  <c r="BO25" i="17"/>
  <c r="BQ27" i="17" l="1"/>
  <c r="BO27" i="10"/>
  <c r="BO27" i="12"/>
  <c r="BO27" i="9"/>
  <c r="BO28" i="8"/>
  <c r="BN26" i="12"/>
  <c r="BP25" i="17"/>
  <c r="BN26" i="8"/>
  <c r="BN27" i="8"/>
  <c r="BN25" i="12"/>
  <c r="BN25" i="10"/>
  <c r="BN25" i="9"/>
  <c r="BP26" i="17"/>
  <c r="BN26" i="9"/>
  <c r="BN26" i="10"/>
  <c r="BR27" i="17" l="1"/>
  <c r="BP27" i="10"/>
  <c r="BP27" i="12"/>
  <c r="BP27" i="9"/>
  <c r="BP28" i="8"/>
  <c r="BQ25" i="17"/>
  <c r="BO25" i="12"/>
  <c r="BO26" i="10"/>
  <c r="BO26" i="12"/>
  <c r="BQ26" i="17"/>
  <c r="BO27" i="8"/>
  <c r="BO25" i="10"/>
  <c r="BO26" i="8"/>
  <c r="BS27" i="17" l="1"/>
  <c r="BQ27" i="10"/>
  <c r="BQ27" i="12"/>
  <c r="BQ27" i="9"/>
  <c r="BQ28" i="8"/>
  <c r="BP25" i="12"/>
  <c r="BR25" i="17"/>
  <c r="BP25" i="9"/>
  <c r="BO25" i="9"/>
  <c r="BP27" i="8"/>
  <c r="BP26" i="9"/>
  <c r="BR26" i="17"/>
  <c r="BP26" i="10"/>
  <c r="BO26" i="9"/>
  <c r="BP26" i="8"/>
  <c r="BP26" i="12"/>
  <c r="BP25" i="10"/>
  <c r="BT27" i="17" l="1"/>
  <c r="BR27" i="10"/>
  <c r="BR27" i="12"/>
  <c r="BR27" i="9"/>
  <c r="BR28" i="8"/>
  <c r="BQ26" i="8"/>
  <c r="BQ27" i="8"/>
  <c r="BQ26" i="10"/>
  <c r="BQ25" i="10"/>
  <c r="BQ26" i="12"/>
  <c r="BQ26" i="9"/>
  <c r="BQ25" i="9"/>
  <c r="BQ25" i="12"/>
  <c r="BS26" i="17"/>
  <c r="BS25" i="17"/>
  <c r="BU27" i="17" l="1"/>
  <c r="BS27" i="10"/>
  <c r="BS27" i="12"/>
  <c r="BS27" i="9"/>
  <c r="BS28" i="8"/>
  <c r="BR26" i="9"/>
  <c r="BT25" i="17"/>
  <c r="BR25" i="9"/>
  <c r="BR27" i="8"/>
  <c r="BR25" i="12"/>
  <c r="BR26" i="10"/>
  <c r="BR26" i="8"/>
  <c r="BR25" i="10"/>
  <c r="BR26" i="12"/>
  <c r="BT26" i="17"/>
  <c r="BV27" i="17" l="1"/>
  <c r="BT27" i="10"/>
  <c r="BT27" i="12"/>
  <c r="BT27" i="9"/>
  <c r="BT28" i="8"/>
  <c r="BS25" i="9"/>
  <c r="BS26" i="10"/>
  <c r="BS25" i="12"/>
  <c r="BS26" i="9"/>
  <c r="BS27" i="8"/>
  <c r="BS26" i="8"/>
  <c r="BS26" i="12"/>
  <c r="BU25" i="17"/>
  <c r="BS25" i="10"/>
  <c r="BU26" i="17"/>
  <c r="BW27" i="17" l="1"/>
  <c r="BU27" i="10"/>
  <c r="BU27" i="12"/>
  <c r="BU27" i="9"/>
  <c r="BU28" i="8"/>
  <c r="BT25" i="10"/>
  <c r="BV26" i="17"/>
  <c r="BT25" i="9"/>
  <c r="BT26" i="9"/>
  <c r="BT26" i="10"/>
  <c r="BT26" i="8"/>
  <c r="BT26" i="12"/>
  <c r="BT27" i="8"/>
  <c r="BT25" i="12"/>
  <c r="BV25" i="17"/>
  <c r="BX27" i="17" l="1"/>
  <c r="BV27" i="10"/>
  <c r="BV27" i="12"/>
  <c r="BV27" i="9"/>
  <c r="BV28" i="8"/>
  <c r="BW25" i="17"/>
  <c r="BU26" i="9"/>
  <c r="BU25" i="9"/>
  <c r="BU26" i="10"/>
  <c r="BU27" i="8"/>
  <c r="BW26" i="17"/>
  <c r="BU25" i="10"/>
  <c r="BU26" i="12"/>
  <c r="BU25" i="12"/>
  <c r="BU26" i="8"/>
  <c r="BY27" i="17" l="1"/>
  <c r="BW27" i="10"/>
  <c r="BW27" i="12"/>
  <c r="BW27" i="9"/>
  <c r="BW28" i="8"/>
  <c r="BX26" i="17"/>
  <c r="BV26" i="12"/>
  <c r="BV26" i="9"/>
  <c r="BV25" i="10"/>
  <c r="BV25" i="12"/>
  <c r="BV27" i="8"/>
  <c r="BV26" i="8"/>
  <c r="BX25" i="17"/>
  <c r="BV26" i="10"/>
  <c r="BV25" i="9"/>
  <c r="BZ27" i="17" l="1"/>
  <c r="BX27" i="10"/>
  <c r="BX27" i="12"/>
  <c r="BX27" i="9"/>
  <c r="BX28" i="8"/>
  <c r="BW25" i="12"/>
  <c r="BW26" i="8"/>
  <c r="BY25" i="17"/>
  <c r="BW26" i="10"/>
  <c r="BW25" i="10"/>
  <c r="BY26" i="17"/>
  <c r="BW26" i="12"/>
  <c r="BW25" i="9"/>
  <c r="BW26" i="9"/>
  <c r="BW27" i="8"/>
  <c r="CA27" i="17" l="1"/>
  <c r="BY27" i="10"/>
  <c r="BY27" i="12"/>
  <c r="BY27" i="9"/>
  <c r="BY28" i="8"/>
  <c r="BX27" i="8"/>
  <c r="BX25" i="10"/>
  <c r="BX26" i="9"/>
  <c r="BX25" i="12"/>
  <c r="BZ26" i="17"/>
  <c r="BX25" i="9"/>
  <c r="BX26" i="8"/>
  <c r="BX26" i="10"/>
  <c r="BX26" i="12"/>
  <c r="BZ25" i="17"/>
  <c r="CB27" i="17" l="1"/>
  <c r="BZ27" i="10"/>
  <c r="BZ27" i="12"/>
  <c r="BZ27" i="9"/>
  <c r="BZ28" i="8"/>
  <c r="BY26" i="12"/>
  <c r="BY25" i="9"/>
  <c r="CA25" i="17"/>
  <c r="BY26" i="10"/>
  <c r="BY26" i="8"/>
  <c r="BY27" i="8"/>
  <c r="BY25" i="12"/>
  <c r="BY25" i="10"/>
  <c r="BY26" i="9"/>
  <c r="CA26" i="17"/>
  <c r="CC27" i="17" l="1"/>
  <c r="CA27" i="10"/>
  <c r="CA27" i="12"/>
  <c r="CA27" i="9"/>
  <c r="CA28" i="8"/>
  <c r="BZ26" i="9"/>
  <c r="BZ27" i="8"/>
  <c r="CB26" i="17"/>
  <c r="CB25" i="17"/>
  <c r="BZ25" i="12"/>
  <c r="BZ25" i="9"/>
  <c r="BZ25" i="10"/>
  <c r="BZ26" i="10"/>
  <c r="BZ26" i="8"/>
  <c r="BZ26" i="12"/>
  <c r="CD27" i="17" l="1"/>
  <c r="CB27" i="10"/>
  <c r="CB27" i="12"/>
  <c r="CB27" i="9"/>
  <c r="CB28" i="8"/>
  <c r="CA25" i="9"/>
  <c r="CA26" i="9"/>
  <c r="CC25" i="17"/>
  <c r="CA26" i="12"/>
  <c r="CA27" i="8"/>
  <c r="CA26" i="10"/>
  <c r="CA25" i="12"/>
  <c r="CC26" i="17"/>
  <c r="CA25" i="10"/>
  <c r="CA26" i="8"/>
  <c r="CE27" i="17" l="1"/>
  <c r="CC27" i="10"/>
  <c r="CC27" i="12"/>
  <c r="CC27" i="9"/>
  <c r="CC28" i="8"/>
  <c r="CB25" i="10"/>
  <c r="CB26" i="8"/>
  <c r="CB25" i="9"/>
  <c r="CB26" i="12"/>
  <c r="CD26" i="17"/>
  <c r="CD25" i="17"/>
  <c r="CB26" i="10"/>
  <c r="CB27" i="8"/>
  <c r="CB25" i="12"/>
  <c r="CB26" i="9"/>
  <c r="CF27" i="17" l="1"/>
  <c r="CD27" i="10"/>
  <c r="CD27" i="12"/>
  <c r="CD27" i="9"/>
  <c r="CD28" i="8"/>
  <c r="CC26" i="12"/>
  <c r="CC26" i="10"/>
  <c r="CC26" i="9"/>
  <c r="CC25" i="12"/>
  <c r="CC27" i="8"/>
  <c r="CE26" i="17"/>
  <c r="CC26" i="8"/>
  <c r="CE25" i="17"/>
  <c r="CC25" i="10"/>
  <c r="CC25" i="9"/>
  <c r="CG27" i="17" l="1"/>
  <c r="CE27" i="10"/>
  <c r="CE27" i="12"/>
  <c r="CE27" i="9"/>
  <c r="CE28" i="8"/>
  <c r="CD26" i="10"/>
  <c r="CD26" i="8"/>
  <c r="CD25" i="12"/>
  <c r="CD25" i="10"/>
  <c r="CD27" i="8"/>
  <c r="CD26" i="12"/>
  <c r="CF25" i="17"/>
  <c r="CD26" i="9"/>
  <c r="CD25" i="9"/>
  <c r="CF26" i="17"/>
  <c r="CH27" i="17" l="1"/>
  <c r="CF27" i="10"/>
  <c r="CF27" i="12"/>
  <c r="CF27" i="9"/>
  <c r="CF28" i="8"/>
  <c r="CE25" i="12"/>
  <c r="CG26" i="17"/>
  <c r="CE26" i="10"/>
  <c r="CE27" i="8"/>
  <c r="CE25" i="10"/>
  <c r="CE26" i="9"/>
  <c r="CE26" i="12"/>
  <c r="CE25" i="9"/>
  <c r="CE26" i="8"/>
  <c r="CG25" i="17"/>
  <c r="CI27" i="17" l="1"/>
  <c r="CG27" i="10"/>
  <c r="CG27" i="12"/>
  <c r="CG27" i="9"/>
  <c r="CG28" i="8"/>
  <c r="CF26" i="10"/>
  <c r="CF26" i="8"/>
  <c r="CF26" i="12"/>
  <c r="CH26" i="17"/>
  <c r="CF25" i="10"/>
  <c r="CF25" i="12"/>
  <c r="CH25" i="17"/>
  <c r="CF25" i="9"/>
  <c r="CF27" i="8"/>
  <c r="CJ27" i="17" l="1"/>
  <c r="CH27" i="10"/>
  <c r="CH27" i="12"/>
  <c r="CH27" i="9"/>
  <c r="CH28" i="8"/>
  <c r="CI25" i="17"/>
  <c r="CG26" i="9"/>
  <c r="CF26" i="9"/>
  <c r="CI26" i="17"/>
  <c r="CG26" i="12"/>
  <c r="CG25" i="9"/>
  <c r="CG27" i="8"/>
  <c r="CG25" i="10"/>
  <c r="CG25" i="12"/>
  <c r="CG26" i="10"/>
  <c r="CG26" i="8"/>
  <c r="CI27" i="10" l="1"/>
  <c r="CI27" i="12"/>
  <c r="CI27" i="9"/>
  <c r="CI28" i="8"/>
  <c r="CJ25" i="17"/>
  <c r="CH25" i="12"/>
  <c r="CH26" i="12"/>
  <c r="CH25" i="10"/>
  <c r="CH25" i="9"/>
  <c r="CH26" i="8"/>
  <c r="CH26" i="10"/>
  <c r="CJ26" i="17"/>
  <c r="CH27" i="8"/>
  <c r="CJ27" i="10" l="1"/>
  <c r="CJ27" i="12"/>
  <c r="CJ27" i="9"/>
  <c r="CJ28" i="8"/>
  <c r="CI25" i="10"/>
  <c r="CJ26" i="9"/>
  <c r="CJ25" i="10"/>
  <c r="CJ26" i="8"/>
  <c r="CJ25" i="9"/>
  <c r="CI25" i="9"/>
  <c r="CI27" i="8"/>
  <c r="CI26" i="12"/>
  <c r="CI26" i="10"/>
  <c r="CH26" i="9"/>
  <c r="CJ25" i="12"/>
  <c r="CJ26" i="10"/>
  <c r="CJ26" i="12"/>
  <c r="CJ27" i="8"/>
  <c r="CI26" i="8"/>
  <c r="CI25" i="12"/>
  <c r="CI26" i="9"/>
</calcChain>
</file>

<file path=xl/sharedStrings.xml><?xml version="1.0" encoding="utf-8"?>
<sst xmlns="http://schemas.openxmlformats.org/spreadsheetml/2006/main" count="2392" uniqueCount="462">
  <si>
    <t>Item</t>
    <phoneticPr fontId="1" type="noConversion"/>
  </si>
  <si>
    <t>Description</t>
    <phoneticPr fontId="1" type="noConversion"/>
  </si>
  <si>
    <t>Min</t>
    <phoneticPr fontId="1" type="noConversion"/>
  </si>
  <si>
    <t>Max</t>
    <phoneticPr fontId="1" type="noConversion"/>
  </si>
  <si>
    <t>Remark</t>
    <phoneticPr fontId="1" type="noConversion"/>
  </si>
  <si>
    <t>FTH heater 1 temperature</t>
    <phoneticPr fontId="1" type="noConversion"/>
  </si>
  <si>
    <t>Unit</t>
    <phoneticPr fontId="1" type="noConversion"/>
  </si>
  <si>
    <t>%</t>
    <phoneticPr fontId="1" type="noConversion"/>
  </si>
  <si>
    <t>°C</t>
    <phoneticPr fontId="1" type="noConversion"/>
  </si>
  <si>
    <t>-</t>
    <phoneticPr fontId="1" type="noConversion"/>
  </si>
  <si>
    <t>Bytes</t>
    <phoneticPr fontId="1" type="noConversion"/>
  </si>
  <si>
    <t>Block 1</t>
  </si>
  <si>
    <t>Block 2</t>
  </si>
  <si>
    <t>Block 3</t>
  </si>
  <si>
    <t>Block 4</t>
  </si>
  <si>
    <t>Block 5</t>
  </si>
  <si>
    <t>Block 6</t>
  </si>
  <si>
    <t>Block 7</t>
  </si>
  <si>
    <t>Block 8</t>
  </si>
  <si>
    <t>Block 9</t>
  </si>
  <si>
    <t>Block 10</t>
  </si>
  <si>
    <t>Block 0</t>
    <phoneticPr fontId="1" type="noConversion"/>
  </si>
  <si>
    <t>Block 11</t>
  </si>
  <si>
    <t>Block 12</t>
  </si>
  <si>
    <t>Block 13</t>
  </si>
  <si>
    <t>Block 14</t>
  </si>
  <si>
    <t>Example 1</t>
    <phoneticPr fontId="1" type="noConversion"/>
  </si>
  <si>
    <t>ml</t>
    <phoneticPr fontId="1" type="noConversion"/>
  </si>
  <si>
    <t>Block ends if Volume is reached</t>
    <phoneticPr fontId="1" type="noConversion"/>
  </si>
  <si>
    <t>Milk temperature</t>
    <phoneticPr fontId="1" type="noConversion"/>
  </si>
  <si>
    <t>FTH heater 2 temperature</t>
    <phoneticPr fontId="1" type="noConversion"/>
  </si>
  <si>
    <t>Brewer head temperature</t>
    <phoneticPr fontId="1" type="noConversion"/>
  </si>
  <si>
    <t>Flow pump 1</t>
    <phoneticPr fontId="1" type="noConversion"/>
  </si>
  <si>
    <t>Flow pump 2</t>
    <phoneticPr fontId="1" type="noConversion"/>
  </si>
  <si>
    <t>Airflow airpump</t>
    <phoneticPr fontId="1" type="noConversion"/>
  </si>
  <si>
    <t>Volume pump 1</t>
    <phoneticPr fontId="1" type="noConversion"/>
  </si>
  <si>
    <t>Volume pump 2</t>
    <phoneticPr fontId="1" type="noConversion"/>
  </si>
  <si>
    <t>Flow 1 reached</t>
    <phoneticPr fontId="1" type="noConversion"/>
  </si>
  <si>
    <t>Flow 2 reached</t>
    <phoneticPr fontId="1" type="noConversion"/>
  </si>
  <si>
    <t>Pressure 1 reached</t>
    <phoneticPr fontId="1" type="noConversion"/>
  </si>
  <si>
    <t>Pressure 2 reached</t>
    <phoneticPr fontId="1" type="noConversion"/>
  </si>
  <si>
    <t>Temperature 1 reached</t>
    <phoneticPr fontId="1" type="noConversion"/>
  </si>
  <si>
    <t>Temperature 2 reached</t>
    <phoneticPr fontId="1" type="noConversion"/>
  </si>
  <si>
    <t>Temperature 3 reached</t>
    <phoneticPr fontId="1" type="noConversion"/>
  </si>
  <si>
    <t>Volume 1 reached</t>
    <phoneticPr fontId="1" type="noConversion"/>
  </si>
  <si>
    <t>Volume 2 reached</t>
    <phoneticPr fontId="1" type="noConversion"/>
  </si>
  <si>
    <t>Time passed</t>
    <phoneticPr fontId="1" type="noConversion"/>
  </si>
  <si>
    <t>Make coffee at 95 degrees, 2 ml/s, piston 1, 40 ml of water</t>
    <phoneticPr fontId="1" type="noConversion"/>
  </si>
  <si>
    <t>Premoist at 95 degrees, 3 ml/s, piston 1, Pump 1, 5 ml water</t>
    <phoneticPr fontId="1" type="noConversion"/>
  </si>
  <si>
    <t>Add 80 ml water at 85 degrees, 5 ml/s, using both heaters</t>
    <phoneticPr fontId="1" type="noConversion"/>
  </si>
  <si>
    <t>Pos</t>
    <phoneticPr fontId="1" type="noConversion"/>
  </si>
  <si>
    <t>x 0.1 Bar</t>
  </si>
  <si>
    <t>x 0.1 ml/s</t>
  </si>
  <si>
    <t>x 0.1 s</t>
  </si>
  <si>
    <t>BrewerPmax</t>
  </si>
  <si>
    <t>Recipe parameter definition</t>
  </si>
  <si>
    <t>Max brewer pressure</t>
  </si>
  <si>
    <t>BrewerTmax</t>
  </si>
  <si>
    <t>Max brewer head temperature</t>
  </si>
  <si>
    <t>WaterTmax</t>
  </si>
  <si>
    <t>SteamTmax</t>
  </si>
  <si>
    <t>Max water temperature</t>
  </si>
  <si>
    <t>Max steam temperature</t>
  </si>
  <si>
    <t>Machine parameter &amp; limit definition</t>
  </si>
  <si>
    <t>WaterCapacity</t>
  </si>
  <si>
    <t>Water tank capacity</t>
  </si>
  <si>
    <t>ml</t>
  </si>
  <si>
    <t>Time</t>
  </si>
  <si>
    <t>Duration of the block</t>
  </si>
  <si>
    <t>Default</t>
  </si>
  <si>
    <t>Total bytes 1 block</t>
  </si>
  <si>
    <t>RecipeCode</t>
  </si>
  <si>
    <t>Linux will then send the recipe below to the coffee machine, which starts it after the button is pushed by the user.</t>
  </si>
  <si>
    <t>--&gt;</t>
  </si>
  <si>
    <t>Milk temperature reached</t>
  </si>
  <si>
    <t>Prepare Americano</t>
  </si>
  <si>
    <t>End block
conditions 2:
More than 1 
condition can 
apply</t>
  </si>
  <si>
    <t>End condition block 1</t>
  </si>
  <si>
    <t>End condition block 2</t>
  </si>
  <si>
    <t>Wait 5 seconds</t>
  </si>
  <si>
    <t>Make coffee 95°C, 4 ml/s, piston 1, 49 ml, flow control
Next block when 4 bar is reached OR 49 ml is dispensed</t>
  </si>
  <si>
    <t>SetTemperature 1</t>
  </si>
  <si>
    <t>SetTemperature 2</t>
  </si>
  <si>
    <t>SetTemperature 3</t>
  </si>
  <si>
    <t>SetTemperature 4</t>
  </si>
  <si>
    <t>SetFlow 1</t>
  </si>
  <si>
    <t>SetFlow 2</t>
  </si>
  <si>
    <t>SetFlow 3</t>
  </si>
  <si>
    <t>SetPressure 1</t>
  </si>
  <si>
    <t>SetPressure 2</t>
  </si>
  <si>
    <t>SetVolume 1</t>
  </si>
  <si>
    <t>SetVolume 2</t>
  </si>
  <si>
    <t>End block
conditions 1:
More than 1 
condition can 
apply. All conditions have to apply before entering the next block</t>
  </si>
  <si>
    <t>SetValves</t>
  </si>
  <si>
    <t>SetTime</t>
  </si>
  <si>
    <t>-</t>
  </si>
  <si>
    <t>Dispensed volume</t>
  </si>
  <si>
    <t>Premoist at 95 degrees, 5 ml/s, piston 1, Pump 1, 5 ml water</t>
  </si>
  <si>
    <t>Pressure</t>
  </si>
  <si>
    <t>Block 4 started</t>
  </si>
  <si>
    <t>Block 1 started</t>
  </si>
  <si>
    <t>Block 2 started</t>
  </si>
  <si>
    <t>Block 3 started</t>
  </si>
  <si>
    <t>Flow</t>
  </si>
  <si>
    <t>Both: Pressure control when pressure is over SetPressure 1, flow control when it is under.</t>
  </si>
  <si>
    <t>SetControlType2</t>
  </si>
  <si>
    <t>SetControlType1</t>
  </si>
  <si>
    <t>Both: Pressure control when pressure is over SetPressure 2, flow control when it is under.</t>
  </si>
  <si>
    <t>Type of control 1</t>
  </si>
  <si>
    <t>Type of control 2</t>
  </si>
  <si>
    <t>Pressure circuit 1</t>
  </si>
  <si>
    <t>Pressure circuit 2</t>
  </si>
  <si>
    <t xml:space="preserve">Change flow to 2ml/s or change to pressure control when pressure &gt; Pressure circuit 1
Next block when 10 bar is reached OR 49 ml is dispensed </t>
  </si>
  <si>
    <t>Block 0</t>
  </si>
  <si>
    <t>Valves settings</t>
  </si>
  <si>
    <t>Temperatures</t>
  </si>
  <si>
    <t>Flows</t>
  </si>
  <si>
    <t>Pressures</t>
  </si>
  <si>
    <t>Volumes</t>
  </si>
  <si>
    <t>Piston</t>
  </si>
  <si>
    <t>Control types</t>
  </si>
  <si>
    <t>Linux has already instructed the user to select the coffee to prepare, put the correct piston in the grinder, tamp it after grinding and place the piston back into the coffee machine.</t>
  </si>
  <si>
    <t>Block 15</t>
  </si>
  <si>
    <t>Brewer temperature reached</t>
  </si>
  <si>
    <t>FTH 1 temperature reached</t>
  </si>
  <si>
    <t>FTH 2 temperature reached</t>
  </si>
  <si>
    <t>Preheat brewer at 80 degrees</t>
  </si>
  <si>
    <t>Template</t>
  </si>
  <si>
    <t>Length</t>
  </si>
  <si>
    <t>Settings</t>
  </si>
  <si>
    <t>Use water tank level detection</t>
  </si>
  <si>
    <t>Use piston detection</t>
  </si>
  <si>
    <t>Use drip tray detection</t>
  </si>
  <si>
    <t>0 = No, 1 = Yes</t>
  </si>
  <si>
    <t>Type</t>
  </si>
  <si>
    <t>Command</t>
  </si>
  <si>
    <t>Start coffee</t>
  </si>
  <si>
    <t>Linux can also however send a START command over the UART, if the user presses a button on the display.</t>
  </si>
  <si>
    <t>Normally the ritual button is used to start the coffee preparation.</t>
  </si>
  <si>
    <t>CommandCode</t>
  </si>
  <si>
    <t>Start milk</t>
  </si>
  <si>
    <t>Normally the ritual button is used to start the milk preparation.</t>
  </si>
  <si>
    <t>Stop coffee</t>
  </si>
  <si>
    <t>Normally the ritual button is used to stop the coffee preparation.</t>
  </si>
  <si>
    <t>Linux can also however send a STOP command over the UART, if the user presses a button on the display.</t>
  </si>
  <si>
    <t>Normally the ritual button is used to stop the milk preparation.</t>
  </si>
  <si>
    <t>End condition block 3</t>
  </si>
  <si>
    <t>End condition block 4</t>
  </si>
  <si>
    <t>End block
conditions 3:
More than 1 
condition can 
apply</t>
  </si>
  <si>
    <t>End block
conditions 4:
More than 1 
condition can 
apply</t>
  </si>
  <si>
    <t xml:space="preserve">Note: </t>
  </si>
  <si>
    <t>Inside blocks 16 through 19 all selected conditions are AND conditions. So all selected conditions need to be met before the block is valid.</t>
  </si>
  <si>
    <t>Blocks 16 through 19 are OR conditions, so block 16 OR block 17 OR block 18 OR block 19 need to be valid in order to end the block. More than one block can be valid the software will always use the first valid block.</t>
  </si>
  <si>
    <t>V1.0</t>
  </si>
  <si>
    <t>Preliminary distribution</t>
  </si>
  <si>
    <t>V1.1</t>
  </si>
  <si>
    <t>When</t>
  </si>
  <si>
    <t>Version</t>
  </si>
  <si>
    <t>Who</t>
  </si>
  <si>
    <t>Revision</t>
  </si>
  <si>
    <t>RAW</t>
  </si>
  <si>
    <t xml:space="preserve">RAW </t>
  </si>
  <si>
    <t>Rene Weimar</t>
  </si>
  <si>
    <t>Steam at 125 degrees, 1.25 bar, airpump 50%, until milk is 60 degrees</t>
  </si>
  <si>
    <t>Dispense 50 ml water @ 90 degrees, using both heaters @ 5ml/s</t>
  </si>
  <si>
    <t>Added two condition blocks in parameters recipe
Changed S13 &gt; S2, S23 &gt; S3 in flow chart</t>
  </si>
  <si>
    <t>{</t>
  </si>
  <si>
    <t>  "recipeId": 2,</t>
  </si>
  <si>
    <t>  "version": 1,</t>
  </si>
  <si>
    <t>  "roast": {</t>
  </si>
  <si>
    <t>    "roastId": 2</t>
  </si>
  <si>
    <t>  },</t>
  </si>
  <si>
    <t>  "info": {</t>
  </si>
  <si>
    <t>    "name": "Mild sense"</t>
  </si>
  <si>
    <t>  "brewing": {</t>
  </si>
  <si>
    <t>    "flowProfileId": 2,</t>
  </si>
  <si>
    <t>    "fallbackProfileId": 2,</t>
  </si>
  <si>
    <t>    "startTemperature": 80,</t>
  </si>
  <si>
    <t>    "endTemperature": 90</t>
  </si>
  <si>
    <t>  "grinding": {</t>
  </si>
  <si>
    <t>    "shutterTimeDouble": 30,</t>
  </si>
  <si>
    <t>    "shutterTimeSingle": 20,</t>
  </si>
  <si>
    <t>    "weightDouble": 180,</t>
  </si>
  <si>
    <t>    "weightSingle": 90,</t>
  </si>
  <si>
    <t>    "sizeDouble": 40,</t>
  </si>
  <si>
    <t>    "sizeSingle": 40</t>
  </si>
  <si>
    <t>  }</t>
  </si>
  <si>
    <t>}</t>
  </si>
  <si>
    <t>Bytes</t>
  </si>
  <si>
    <t>Total volume reached</t>
  </si>
  <si>
    <t>V1.2</t>
  </si>
  <si>
    <t>Added "Total Volume dispensed" criterium</t>
  </si>
  <si>
    <t>V1.3</t>
  </si>
  <si>
    <t>Added LED parameters</t>
  </si>
  <si>
    <t>Effect</t>
  </si>
  <si>
    <t>Positions</t>
  </si>
  <si>
    <t>Effect of the LED</t>
  </si>
  <si>
    <t>Color R</t>
  </si>
  <si>
    <t>RGB value of red</t>
  </si>
  <si>
    <t>Color G</t>
  </si>
  <si>
    <t>Color B</t>
  </si>
  <si>
    <t>Intensity</t>
  </si>
  <si>
    <t>Intensity of the LED</t>
  </si>
  <si>
    <t>0 = 0 intensity, 255 = max intensity</t>
  </si>
  <si>
    <t>BlinkTimeOn</t>
  </si>
  <si>
    <t>ms</t>
  </si>
  <si>
    <t>On time of the LED when blinking</t>
  </si>
  <si>
    <t>BlinkTimeOff</t>
  </si>
  <si>
    <t>Off time of the LED when blinking</t>
  </si>
  <si>
    <t>Time per intensity step change</t>
  </si>
  <si>
    <t>StepTime</t>
  </si>
  <si>
    <t>Applies to breath, fade in and fade out</t>
  </si>
  <si>
    <t>LED nr</t>
  </si>
  <si>
    <t>LED number</t>
  </si>
  <si>
    <t>RGB value of green</t>
  </si>
  <si>
    <t>RGB value of blue</t>
  </si>
  <si>
    <t>Example 1</t>
  </si>
  <si>
    <t>Prepare the coffe part of Americano. Note: this is only the data definition. The complete message to be sent to the coffee machine is defined in "UART protocol Vx.x.xlsm"</t>
  </si>
  <si>
    <t>Prepare the coffee part of Americano. Note: this is only the data definition. The complete message to be sent to the coffee machine is defined in "UART protocol Vx.x.xlsm"</t>
  </si>
  <si>
    <t>Prepare the milk part of a cappucino. Note: this is only the data definition. The complete message to be sent to the coffee machine is defined in "UART protocol Vx.x.xlsm"</t>
  </si>
  <si>
    <t>Prepare the water part of the Americano. Note: this is only the data definition. The complete message to be sent to the coffee machine is defined in "UART protocol Vx.x.xlsm"</t>
  </si>
  <si>
    <t>V1.4</t>
  </si>
  <si>
    <t>Fixed examples. References to UART protocol</t>
  </si>
  <si>
    <t>Startpos</t>
  </si>
  <si>
    <t>Endpos</t>
  </si>
  <si>
    <t xml:space="preserve">/1420100 04 00 00 00 50 00 00 00 00 00 00 0000 0000 00 01 0000 00 00 </t>
  </si>
  <si>
    <t>V1,5</t>
  </si>
  <si>
    <t>WaterTankLevel</t>
  </si>
  <si>
    <t>SteamWandStatus</t>
  </si>
  <si>
    <t>DripTrayStatus</t>
  </si>
  <si>
    <t>RitualButtonStatus</t>
  </si>
  <si>
    <t>MilkButtonStatus</t>
  </si>
  <si>
    <t>Humidity</t>
  </si>
  <si>
    <t>AmbientTemperature</t>
  </si>
  <si>
    <t>Level of the water tank in ml</t>
  </si>
  <si>
    <t>FilterStatus</t>
  </si>
  <si>
    <t>Status</t>
  </si>
  <si>
    <t>Steam wand status</t>
  </si>
  <si>
    <t>Drip tray status</t>
  </si>
  <si>
    <t>Ritual button status</t>
  </si>
  <si>
    <t>Milk button status</t>
  </si>
  <si>
    <t>%</t>
  </si>
  <si>
    <t>Humidity value</t>
  </si>
  <si>
    <t>°C</t>
  </si>
  <si>
    <t>Ambient temperature</t>
  </si>
  <si>
    <t>Heater 2 temperature</t>
  </si>
  <si>
    <t>Heater 1 temperature</t>
  </si>
  <si>
    <t>Heater 3 temperature</t>
  </si>
  <si>
    <t>FTH heater 1 temperature</t>
  </si>
  <si>
    <t>FTH heater 2 temperature</t>
  </si>
  <si>
    <t>Brewer head temperature</t>
  </si>
  <si>
    <t>0-7</t>
  </si>
  <si>
    <t>Milk temperature</t>
  </si>
  <si>
    <t>Flow 1</t>
  </si>
  <si>
    <t>Flow pump 1</t>
  </si>
  <si>
    <t>Flow 2</t>
  </si>
  <si>
    <t>Flow pump 2</t>
  </si>
  <si>
    <t>Flow 3</t>
  </si>
  <si>
    <t>Air flow air pump</t>
  </si>
  <si>
    <t>Is not measured, can only return the set value</t>
  </si>
  <si>
    <t>Pressure 1</t>
  </si>
  <si>
    <t>Pressure pump 1</t>
  </si>
  <si>
    <t>Pressure 2</t>
  </si>
  <si>
    <t>Pressure pump 2</t>
  </si>
  <si>
    <t>x 0,1 ml/s</t>
  </si>
  <si>
    <t>x 0,1 bar</t>
  </si>
  <si>
    <t>Volume 1</t>
  </si>
  <si>
    <t>Volume dispensed pump 1</t>
  </si>
  <si>
    <t>Volume 2</t>
  </si>
  <si>
    <t>Volume dispensed pump 2</t>
  </si>
  <si>
    <t>Valves</t>
  </si>
  <si>
    <t>Valve Status</t>
  </si>
  <si>
    <t>Valve 1 is on</t>
  </si>
  <si>
    <t>Valve 11 is on</t>
  </si>
  <si>
    <t>Valve 12 is on</t>
  </si>
  <si>
    <t>Valve 2 is on</t>
  </si>
  <si>
    <t>Valve 21 is on</t>
  </si>
  <si>
    <t>Valve 22 is on</t>
  </si>
  <si>
    <t>Valve 3 is on</t>
  </si>
  <si>
    <t>Note: this is bit status</t>
  </si>
  <si>
    <t>So 66 means Valve11 is on</t>
  </si>
  <si>
    <t>and Valve 3 is on</t>
  </si>
  <si>
    <t>Value</t>
  </si>
  <si>
    <t>Serial number MSB</t>
  </si>
  <si>
    <t>Serial number LSB</t>
  </si>
  <si>
    <t>Serial number = MSB * 65536 + LSB</t>
  </si>
  <si>
    <t>Hardware version</t>
  </si>
  <si>
    <t>0-15</t>
  </si>
  <si>
    <t>Software version</t>
  </si>
  <si>
    <t>Major version</t>
  </si>
  <si>
    <t>Minor version</t>
  </si>
  <si>
    <t>Bugfix</t>
  </si>
  <si>
    <t>Process info parameters for the coffee machine</t>
  </si>
  <si>
    <t>Physical info parameter for the coffee machine</t>
  </si>
  <si>
    <t>Device info parameters for coffee machine AND grinder</t>
  </si>
  <si>
    <t>HEX</t>
  </si>
  <si>
    <t>All data is defined in 2 bytes (4 positions in the UART HEX string)</t>
  </si>
  <si>
    <t>All data is defined in 1 or 2 bytes (2 or 4 positions in the UART HEX string)</t>
  </si>
  <si>
    <t>Added Info Specification</t>
  </si>
  <si>
    <t>STANDBY LED</t>
  </si>
  <si>
    <t>WATER TANK LED's (2 pieces)</t>
  </si>
  <si>
    <t>OUTLET LED</t>
  </si>
  <si>
    <t>OFF</t>
  </si>
  <si>
    <t>BLINK</t>
  </si>
  <si>
    <t>BREATH</t>
  </si>
  <si>
    <t>FADE IN</t>
  </si>
  <si>
    <t>FADE OUT</t>
  </si>
  <si>
    <t>ON</t>
  </si>
  <si>
    <t>x</t>
  </si>
  <si>
    <t>Not used</t>
  </si>
  <si>
    <t>Used</t>
  </si>
  <si>
    <t>SetFilter</t>
  </si>
  <si>
    <t>Type of filter</t>
  </si>
  <si>
    <t>No filter needed</t>
  </si>
  <si>
    <t>Filter 1 needed</t>
  </si>
  <si>
    <t>Filter 2 needed</t>
  </si>
  <si>
    <t>Filter 3 needed</t>
  </si>
  <si>
    <t>Filter 4 needed</t>
  </si>
  <si>
    <t>Any filter needed</t>
  </si>
  <si>
    <t>None</t>
  </si>
  <si>
    <t>Flow control</t>
  </si>
  <si>
    <t>Pressure control</t>
  </si>
  <si>
    <t>Both</t>
  </si>
  <si>
    <t>V1.6</t>
  </si>
  <si>
    <t>Textual changes</t>
  </si>
  <si>
    <t>UNDEFINED</t>
  </si>
  <si>
    <t>INITIALIZE</t>
  </si>
  <si>
    <t>STANDBY</t>
  </si>
  <si>
    <t>IDLE</t>
  </si>
  <si>
    <t>ACTIVE</t>
  </si>
  <si>
    <t>All data is ProcessData+PhysicalData+DeviceData</t>
  </si>
  <si>
    <t>Press Generate to generate the list from the other tabs</t>
  </si>
  <si>
    <t>INACTIVE</t>
  </si>
  <si>
    <t>WAIT</t>
  </si>
  <si>
    <t>NOTINPOSITION</t>
  </si>
  <si>
    <t>INPOSITION</t>
  </si>
  <si>
    <t>Filter type</t>
  </si>
  <si>
    <t>1 - 8</t>
  </si>
  <si>
    <t>NOTPLACED</t>
  </si>
  <si>
    <t>PLACED</t>
  </si>
  <si>
    <t>FULL</t>
  </si>
  <si>
    <t>EMPTY</t>
  </si>
  <si>
    <t>RitualButtonDirection</t>
  </si>
  <si>
    <t xml:space="preserve">Direction of push </t>
  </si>
  <si>
    <t>SHORTPRESSED</t>
  </si>
  <si>
    <t>LONGPRESSED</t>
  </si>
  <si>
    <t>Various</t>
  </si>
  <si>
    <t>See STATUS enum definition</t>
  </si>
  <si>
    <t>0 = No filter, 1 - 4 = Filter 1 to Filter 4</t>
  </si>
  <si>
    <t>=</t>
  </si>
  <si>
    <t>,</t>
  </si>
  <si>
    <t>UP</t>
  </si>
  <si>
    <t>DOWN</t>
  </si>
  <si>
    <t>UPWARDS</t>
  </si>
  <si>
    <t>DOWNWARDS</t>
  </si>
  <si>
    <t>MachineMainStatus</t>
  </si>
  <si>
    <t>MachineSubStatus</t>
  </si>
  <si>
    <t>Machine main status</t>
  </si>
  <si>
    <t>Machine sub status</t>
  </si>
  <si>
    <t>x 0,1 %</t>
  </si>
  <si>
    <t>x 0,1°C</t>
  </si>
  <si>
    <t>PREPARE</t>
  </si>
  <si>
    <t>V1.7</t>
  </si>
  <si>
    <t>Moved button status to physical data</t>
  </si>
  <si>
    <t>V1.8</t>
  </si>
  <si>
    <t>Valves setting</t>
  </si>
  <si>
    <t>Circuit 1 MILK</t>
  </si>
  <si>
    <t>Circuit 1 COFFEE</t>
  </si>
  <si>
    <t>Circuit 2 MILK</t>
  </si>
  <si>
    <t>Circuit 1 WATER</t>
  </si>
  <si>
    <t>Circuit 2 WATER</t>
  </si>
  <si>
    <t>Circuit 1 and 2 WATER</t>
  </si>
  <si>
    <t>Circuit 1 and 2 MILK</t>
  </si>
  <si>
    <t>Valves options reduced to possible combinations, in order to simplify and protect against wrong settings</t>
  </si>
  <si>
    <t>Changed Valve parameter to possible options</t>
  </si>
  <si>
    <t>Circuit 1 OFF</t>
  </si>
  <si>
    <t>Circuit 2 OFF</t>
  </si>
  <si>
    <t>Circuit 1 and 2 OFF</t>
  </si>
  <si>
    <t>Changed the LED order and numbering</t>
  </si>
  <si>
    <t>Current block recipe 1</t>
  </si>
  <si>
    <t>Current block recipe 2</t>
  </si>
  <si>
    <t>Current block recipe 3</t>
  </si>
  <si>
    <t>NrOfBrewBlocksRecipe1</t>
  </si>
  <si>
    <t>NrOfBrewBlocksRecipe2</t>
  </si>
  <si>
    <t>NrOfBrewBlocksRecipe3</t>
  </si>
  <si>
    <t>Nr blocks in recipe 1</t>
  </si>
  <si>
    <t>Nr blocks in recipe 2</t>
  </si>
  <si>
    <t>Nr blocks in recipe 3</t>
  </si>
  <si>
    <t>Active block number Recipe 1</t>
  </si>
  <si>
    <t>Active block number Recipe 2</t>
  </si>
  <si>
    <t>Active block number Recipe 3</t>
  </si>
  <si>
    <t>UNITERROR</t>
  </si>
  <si>
    <t>WAITFORCONDITIONS</t>
  </si>
  <si>
    <t>WAITFOROTHERRECIPE</t>
  </si>
  <si>
    <t>DOSE</t>
  </si>
  <si>
    <t>WEIGH</t>
  </si>
  <si>
    <t>GRIND</t>
  </si>
  <si>
    <t>ADJUST</t>
  </si>
  <si>
    <t>V1.9</t>
  </si>
  <si>
    <t>V1.10</t>
  </si>
  <si>
    <t>Added status in RECIPESTATUS enum and STATUS enum</t>
  </si>
  <si>
    <t>HARDWAREINCOMPATIBLE</t>
  </si>
  <si>
    <t>V1.11</t>
  </si>
  <si>
    <t>0-7 or 255 (When Recipe is inactive)</t>
  </si>
  <si>
    <t>Added RecipeBlock nr. 255 in physical data</t>
  </si>
  <si>
    <t>Request by Ralf to indicate that recipe is not running done by sending recipeblock 255 (Which is never used)</t>
  </si>
  <si>
    <t>V1.12</t>
  </si>
  <si>
    <t>Added milk status in process data</t>
  </si>
  <si>
    <t>V1.13</t>
  </si>
  <si>
    <t>RFID parameter definition for manual sending RFID</t>
  </si>
  <si>
    <t>ConsumableID</t>
  </si>
  <si>
    <t>RoastID</t>
  </si>
  <si>
    <t>RoastName</t>
  </si>
  <si>
    <t>/17C6200</t>
  </si>
  <si>
    <t>HOME</t>
  </si>
  <si>
    <t>LIFTEDNOFLUID</t>
  </si>
  <si>
    <t>LIFTEDFLUID</t>
  </si>
  <si>
    <t>PARKEDNOFLUID</t>
  </si>
  <si>
    <t>PARKEDFLUID</t>
  </si>
  <si>
    <t>Added RFID data description. Removed milk status. Added 5 status in Status ENUM</t>
  </si>
  <si>
    <t>Off</t>
  </si>
  <si>
    <t>On</t>
  </si>
  <si>
    <t>Use when there is no coffee machine at all</t>
  </si>
  <si>
    <t>DummyMode</t>
  </si>
  <si>
    <t>DummyModeFilter</t>
  </si>
  <si>
    <t>Use when there is no filter detection</t>
  </si>
  <si>
    <t>DummyModeH3</t>
  </si>
  <si>
    <t xml:space="preserve">Use when there is no brewer heater </t>
  </si>
  <si>
    <t>or if it is broken</t>
  </si>
  <si>
    <t>DummyModeRFID</t>
  </si>
  <si>
    <t>Use when there is no RFID</t>
  </si>
  <si>
    <t>or if it is not working</t>
  </si>
  <si>
    <t>DummyModeScale</t>
  </si>
  <si>
    <t>Use when there is no scale</t>
  </si>
  <si>
    <t>V1.14</t>
  </si>
  <si>
    <t>Added dummymode</t>
  </si>
  <si>
    <t>Dummy mode parameter definition</t>
  </si>
  <si>
    <t>Partition parameter definition</t>
  </si>
  <si>
    <t>Undefined</t>
  </si>
  <si>
    <t>Valid</t>
  </si>
  <si>
    <t>FactoryUpdated</t>
  </si>
  <si>
    <t>ImageUpdated</t>
  </si>
  <si>
    <t>UpdatingFactory</t>
  </si>
  <si>
    <t>UpdatingImage</t>
  </si>
  <si>
    <t>Status to be set</t>
  </si>
  <si>
    <t>V1.15</t>
  </si>
  <si>
    <t>Added parameters partition</t>
  </si>
  <si>
    <t>V1.16</t>
  </si>
  <si>
    <t>TimeCycles</t>
  </si>
  <si>
    <t>ms-cycles</t>
  </si>
  <si>
    <t xml:space="preserve">Time or number of cycles for this setting </t>
  </si>
  <si>
    <t>RestorePreviousSetting</t>
  </si>
  <si>
    <t>Restore the previous setting after timeCycles is passed</t>
  </si>
  <si>
    <t>0 = No. LED remains in the state it ends after TimeCycles is passed
1 = Yes. LED setting will be restored to the previous setting</t>
  </si>
  <si>
    <t>0 = LED setting will run continuously
&gt; 0 = LED setting will run for TimeCycles time or cycles</t>
  </si>
  <si>
    <t>Bootloader version</t>
  </si>
  <si>
    <t>Added parameters to LED setting. Added bootloader version to device data</t>
  </si>
  <si>
    <t>Below to be added later</t>
  </si>
  <si>
    <t>FlowMeter1Yield</t>
  </si>
  <si>
    <t>ul/pulse</t>
  </si>
  <si>
    <t>ul per pulse of flow meter</t>
  </si>
  <si>
    <t>FlowMeter2Yield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</si>
</sst>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0">
    <font>
      <sz val="11"/>
      <color theme="1"/>
      <name val="Calibri"/>
      <family val="2"/>
      <charset val="134"/>
      <scheme val="minor"/>
    </font>
    <font>
      <sz val="9"/>
      <name val="Calibri"/>
      <family val="2"/>
      <charset val="134"/>
      <scheme val="minor"/>
    </font>
    <font>
      <sz val="11"/>
      <color theme="1"/>
      <name val="Calibri"/>
      <family val="2"/>
    </font>
    <font>
      <sz val="8"/>
      <name val="Calibri"/>
      <family val="2"/>
      <charset val="134"/>
      <scheme val="minor"/>
    </font>
    <font>
      <b/>
      <sz val="14"/>
      <color theme="1"/>
      <name val="Calibri"/>
      <family val="2"/>
    </font>
    <font>
      <b/>
      <sz val="14"/>
      <color theme="1"/>
      <name val="Calibri"/>
      <family val="2"/>
      <scheme val="minor"/>
    </font>
    <font>
      <b/>
      <sz val="12"/>
      <color theme="1"/>
      <name val="Calibri"/>
      <family val="2"/>
      <scheme val="minor"/>
    </font>
    <font>
      <b/>
      <sz val="12"/>
      <color theme="1"/>
      <name val="Calibri"/>
      <family val="2"/>
    </font>
    <font>
      <sz val="11"/>
      <color theme="0"/>
      <name val="Calibri"/>
      <family val="2"/>
      <charset val="134"/>
      <scheme val="minor"/>
    </font>
    <font>
      <sz val="11"/>
      <color theme="1"/>
      <name val="Calibri"/>
      <family val="2"/>
      <scheme val="minor"/>
    </font>
  </fonts>
  <fills count="8">
    <fill>
      <patternFill patternType="none"/>
    </fill>
    <fill>
      <patternFill patternType="gray125"/>
    </fill>
    <fill>
      <patternFill patternType="solid">
        <fgColor rgb="FF92D050"/>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C000"/>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hair">
        <color auto="1"/>
      </top>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hair">
        <color auto="1"/>
      </bottom>
      <diagonal/>
    </border>
    <border>
      <left style="thin">
        <color auto="1"/>
      </left>
      <right style="thin">
        <color auto="1"/>
      </right>
      <top/>
      <bottom/>
      <diagonal/>
    </border>
  </borders>
  <cellStyleXfs count="1">
    <xf numFmtId="0" fontId="0" fillId="0" borderId="0">
      <alignment vertical="center"/>
    </xf>
  </cellStyleXfs>
  <cellXfs count="149">
    <xf numFmtId="0" fontId="0" fillId="0" borderId="0" xfId="0">
      <alignment vertical="center"/>
    </xf>
    <xf numFmtId="0" fontId="2" fillId="0" borderId="0" xfId="0" applyFont="1">
      <alignment vertical="center"/>
    </xf>
    <xf numFmtId="0" fontId="2" fillId="0" borderId="0" xfId="0" applyFont="1" applyAlignment="1">
      <alignment horizontal="left" vertical="center"/>
    </xf>
    <xf numFmtId="0" fontId="0" fillId="0" borderId="0" xfId="0" applyAlignment="1">
      <alignment horizontal="center" vertical="center"/>
    </xf>
    <xf numFmtId="0" fontId="2" fillId="0" borderId="0" xfId="0" applyFont="1" applyAlignment="1">
      <alignment horizontal="center" vertical="center"/>
    </xf>
    <xf numFmtId="0" fontId="0" fillId="0" borderId="0" xfId="0" applyAlignment="1">
      <alignment horizontal="left" vertical="center"/>
    </xf>
    <xf numFmtId="0" fontId="2" fillId="0" borderId="2" xfId="0" applyFont="1" applyBorder="1" applyAlignment="1">
      <alignment horizontal="center" vertical="center"/>
    </xf>
    <xf numFmtId="0" fontId="2" fillId="0" borderId="2" xfId="0" applyFont="1" applyBorder="1" applyAlignment="1">
      <alignment horizontal="left" vertical="center"/>
    </xf>
    <xf numFmtId="0" fontId="2" fillId="0" borderId="2" xfId="0" applyFont="1" applyBorder="1">
      <alignment vertical="center"/>
    </xf>
    <xf numFmtId="0" fontId="0" fillId="0" borderId="3" xfId="0" applyBorder="1" applyAlignment="1">
      <alignment horizontal="center" vertical="center"/>
    </xf>
    <xf numFmtId="0" fontId="0" fillId="0" borderId="3" xfId="0" applyBorder="1" applyAlignment="1">
      <alignment horizontal="left" vertical="center"/>
    </xf>
    <xf numFmtId="0" fontId="0" fillId="0" borderId="3" xfId="0" applyBorder="1">
      <alignment vertical="center"/>
    </xf>
    <xf numFmtId="0" fontId="2" fillId="0" borderId="3" xfId="0" applyFont="1" applyBorder="1">
      <alignment vertical="center"/>
    </xf>
    <xf numFmtId="0" fontId="2" fillId="0" borderId="3" xfId="0" applyFont="1" applyBorder="1" applyAlignment="1">
      <alignment horizontal="center" vertical="center"/>
    </xf>
    <xf numFmtId="0" fontId="2" fillId="0" borderId="3" xfId="0" quotePrefix="1" applyFont="1" applyBorder="1">
      <alignment vertical="center"/>
    </xf>
    <xf numFmtId="0" fontId="2" fillId="0" borderId="4" xfId="0" applyFont="1" applyBorder="1">
      <alignment vertical="center"/>
    </xf>
    <xf numFmtId="0" fontId="2" fillId="0" borderId="4" xfId="0" applyFont="1" applyBorder="1" applyAlignment="1">
      <alignment horizontal="center" vertical="center"/>
    </xf>
    <xf numFmtId="0" fontId="2" fillId="0" borderId="4" xfId="0" quotePrefix="1" applyFont="1" applyBorder="1">
      <alignment vertical="center"/>
    </xf>
    <xf numFmtId="0" fontId="4" fillId="2" borderId="1" xfId="0" applyFont="1" applyFill="1" applyBorder="1" applyAlignment="1">
      <alignment horizontal="center" vertical="center"/>
    </xf>
    <xf numFmtId="0" fontId="4" fillId="2" borderId="1" xfId="0" applyFont="1" applyFill="1" applyBorder="1">
      <alignment vertical="center"/>
    </xf>
    <xf numFmtId="0" fontId="2" fillId="0" borderId="4" xfId="0" applyFont="1" applyBorder="1" applyAlignment="1">
      <alignment horizontal="left" vertical="center"/>
    </xf>
    <xf numFmtId="0" fontId="2" fillId="3" borderId="1" xfId="0" applyFont="1" applyFill="1" applyBorder="1" applyAlignment="1">
      <alignment horizontal="center" vertical="center"/>
    </xf>
    <xf numFmtId="0" fontId="2" fillId="3" borderId="1" xfId="0" applyFont="1" applyFill="1" applyBorder="1">
      <alignment vertical="center"/>
    </xf>
    <xf numFmtId="0" fontId="0" fillId="2" borderId="0" xfId="0" applyFill="1" applyAlignment="1">
      <alignment horizontal="center" vertical="center"/>
    </xf>
    <xf numFmtId="0" fontId="0" fillId="2" borderId="0" xfId="0" applyFill="1" applyAlignment="1">
      <alignment horizontal="left" vertical="center"/>
    </xf>
    <xf numFmtId="0" fontId="0" fillId="0" borderId="0" xfId="0" applyAlignment="1">
      <alignment textRotation="90"/>
    </xf>
    <xf numFmtId="0" fontId="0" fillId="0" borderId="0" xfId="0" applyAlignment="1">
      <alignment horizontal="center" textRotation="90"/>
    </xf>
    <xf numFmtId="0" fontId="7" fillId="3" borderId="1" xfId="0" applyFont="1" applyFill="1" applyBorder="1" applyAlignment="1">
      <alignment horizontal="center" textRotation="90"/>
    </xf>
    <xf numFmtId="0" fontId="6" fillId="3" borderId="1" xfId="0" applyFont="1" applyFill="1" applyBorder="1" applyAlignment="1">
      <alignment horizontal="center" textRotation="90"/>
    </xf>
    <xf numFmtId="0" fontId="0" fillId="0" borderId="0" xfId="0" applyAlignment="1">
      <alignment horizontal="center"/>
    </xf>
    <xf numFmtId="0" fontId="0" fillId="4" borderId="1" xfId="0" applyFill="1" applyBorder="1" applyAlignment="1">
      <alignment horizontal="left"/>
    </xf>
    <xf numFmtId="0" fontId="2" fillId="4" borderId="1" xfId="0" applyFont="1" applyFill="1" applyBorder="1" applyAlignment="1">
      <alignment horizontal="center"/>
    </xf>
    <xf numFmtId="0" fontId="0" fillId="5" borderId="2" xfId="0" applyFill="1" applyBorder="1" applyAlignment="1" applyProtection="1">
      <alignment horizontal="center" vertical="center"/>
      <protection locked="0"/>
    </xf>
    <xf numFmtId="0" fontId="0" fillId="6" borderId="11" xfId="0" applyFill="1" applyBorder="1">
      <alignment vertical="center"/>
    </xf>
    <xf numFmtId="0" fontId="0" fillId="6" borderId="0" xfId="0" applyFill="1">
      <alignment vertical="center"/>
    </xf>
    <xf numFmtId="0" fontId="0" fillId="6" borderId="12" xfId="0" quotePrefix="1" applyFill="1" applyBorder="1" applyAlignment="1">
      <alignment horizontal="center" vertical="center"/>
    </xf>
    <xf numFmtId="0" fontId="0" fillId="0" borderId="0" xfId="0" quotePrefix="1" applyAlignment="1">
      <alignment horizontal="center" vertical="center"/>
    </xf>
    <xf numFmtId="0" fontId="2" fillId="0" borderId="0" xfId="0" quotePrefix="1" applyFont="1" applyAlignment="1">
      <alignment horizontal="center" vertical="center"/>
    </xf>
    <xf numFmtId="0" fontId="0" fillId="6" borderId="1" xfId="0" applyFill="1" applyBorder="1" applyAlignment="1">
      <alignment horizontal="center" vertical="center"/>
    </xf>
    <xf numFmtId="0" fontId="0" fillId="4" borderId="4" xfId="0" applyFill="1" applyBorder="1" applyAlignment="1">
      <alignment horizontal="center" vertical="center"/>
    </xf>
    <xf numFmtId="0" fontId="2" fillId="4" borderId="1" xfId="0" applyFont="1" applyFill="1" applyBorder="1" applyAlignment="1">
      <alignment horizontal="center" vertical="center"/>
    </xf>
    <xf numFmtId="0" fontId="8" fillId="0" borderId="0" xfId="0" applyFont="1" applyAlignment="1">
      <alignment horizontal="center" vertical="center"/>
    </xf>
    <xf numFmtId="0" fontId="5" fillId="2" borderId="1" xfId="0" applyFont="1" applyFill="1" applyBorder="1" applyAlignment="1">
      <alignment horizontal="center" wrapText="1"/>
    </xf>
    <xf numFmtId="0" fontId="4" fillId="2" borderId="1" xfId="0" applyFont="1" applyFill="1" applyBorder="1" applyAlignment="1">
      <alignment horizontal="center" textRotation="90" wrapText="1"/>
    </xf>
    <xf numFmtId="0" fontId="0" fillId="0" borderId="0" xfId="0" applyAlignment="1">
      <alignment horizontal="center" wrapText="1"/>
    </xf>
    <xf numFmtId="0" fontId="0" fillId="5" borderId="0" xfId="0" applyFill="1" applyProtection="1">
      <alignment vertical="center"/>
      <protection locked="0"/>
    </xf>
    <xf numFmtId="0" fontId="0" fillId="0" borderId="4" xfId="0" applyBorder="1" applyAlignment="1">
      <alignment horizontal="center" vertical="center"/>
    </xf>
    <xf numFmtId="0" fontId="2" fillId="0" borderId="3" xfId="0" applyFont="1" applyBorder="1" applyAlignment="1">
      <alignment horizontal="left" vertical="center"/>
    </xf>
    <xf numFmtId="0" fontId="0" fillId="6" borderId="1" xfId="0" applyFill="1" applyBorder="1">
      <alignment vertical="center"/>
    </xf>
    <xf numFmtId="0" fontId="2" fillId="5" borderId="1" xfId="0" applyFont="1" applyFill="1" applyBorder="1" applyAlignment="1" applyProtection="1">
      <alignment horizontal="center" vertical="center"/>
      <protection locked="0"/>
    </xf>
    <xf numFmtId="164" fontId="0" fillId="2" borderId="1" xfId="0" applyNumberFormat="1" applyFill="1" applyBorder="1" applyAlignment="1">
      <alignment horizontal="center" vertical="center"/>
    </xf>
    <xf numFmtId="164" fontId="0" fillId="0" borderId="2" xfId="0" applyNumberFormat="1" applyBorder="1" applyAlignment="1">
      <alignment horizontal="center" vertical="center"/>
    </xf>
    <xf numFmtId="164" fontId="0" fillId="0" borderId="3" xfId="0" applyNumberFormat="1" applyBorder="1" applyAlignment="1">
      <alignment horizontal="center" vertical="center"/>
    </xf>
    <xf numFmtId="164" fontId="0" fillId="0" borderId="4" xfId="0" applyNumberFormat="1" applyBorder="1" applyAlignment="1">
      <alignment horizontal="center" vertical="center"/>
    </xf>
    <xf numFmtId="164" fontId="0" fillId="0" borderId="0" xfId="0" applyNumberFormat="1" applyAlignment="1">
      <alignment horizontal="center" vertical="center"/>
    </xf>
    <xf numFmtId="0" fontId="0" fillId="2" borderId="1" xfId="0" applyFill="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left" vertical="center" wrapText="1" indent="1"/>
    </xf>
    <xf numFmtId="0" fontId="9" fillId="0" borderId="0" xfId="0" applyFont="1">
      <alignment vertical="center"/>
    </xf>
    <xf numFmtId="0" fontId="0" fillId="0" borderId="4" xfId="0" applyBorder="1" applyAlignment="1">
      <alignment horizontal="left" vertical="center"/>
    </xf>
    <xf numFmtId="0" fontId="2" fillId="0" borderId="2" xfId="0" quotePrefix="1" applyFont="1" applyBorder="1">
      <alignment vertical="center"/>
    </xf>
    <xf numFmtId="0" fontId="2" fillId="0" borderId="2" xfId="0" applyFont="1" applyBorder="1" applyAlignment="1">
      <alignment vertical="center" wrapText="1"/>
    </xf>
    <xf numFmtId="0" fontId="2" fillId="0" borderId="3" xfId="0" applyFont="1" applyBorder="1" applyAlignment="1">
      <alignment vertical="center" wrapText="1"/>
    </xf>
    <xf numFmtId="0" fontId="2" fillId="0" borderId="7" xfId="0" applyFont="1" applyBorder="1" applyAlignment="1">
      <alignment horizontal="center" vertical="center"/>
    </xf>
    <xf numFmtId="0" fontId="2" fillId="0" borderId="14" xfId="0" applyFont="1" applyBorder="1" applyAlignment="1">
      <alignment horizontal="center" vertical="center"/>
    </xf>
    <xf numFmtId="0" fontId="2" fillId="0" borderId="14" xfId="0" applyFont="1" applyBorder="1" applyAlignment="1">
      <alignment horizontal="left" vertical="center"/>
    </xf>
    <xf numFmtId="0" fontId="2" fillId="0" borderId="14" xfId="0" applyFont="1" applyBorder="1">
      <alignment vertical="center"/>
    </xf>
    <xf numFmtId="0" fontId="2" fillId="0" borderId="7" xfId="0" applyFont="1" applyBorder="1" applyAlignment="1">
      <alignment horizontal="left" vertical="center"/>
    </xf>
    <xf numFmtId="0" fontId="2" fillId="0" borderId="7" xfId="0" quotePrefix="1" applyFont="1" applyBorder="1">
      <alignment vertical="center"/>
    </xf>
    <xf numFmtId="0" fontId="2" fillId="0" borderId="7" xfId="0" applyFont="1" applyBorder="1">
      <alignment vertical="center"/>
    </xf>
    <xf numFmtId="0" fontId="2" fillId="0" borderId="15" xfId="0" applyFont="1" applyBorder="1" applyAlignment="1">
      <alignment horizontal="center" vertical="center"/>
    </xf>
    <xf numFmtId="0" fontId="2" fillId="0" borderId="15" xfId="0" applyFont="1" applyBorder="1" applyAlignment="1">
      <alignment horizontal="left" vertical="center"/>
    </xf>
    <xf numFmtId="0" fontId="2" fillId="0" borderId="15" xfId="0" quotePrefix="1" applyFont="1" applyBorder="1">
      <alignment vertical="center"/>
    </xf>
    <xf numFmtId="0" fontId="2" fillId="0" borderId="15" xfId="0" applyFont="1" applyBorder="1">
      <alignment vertical="center"/>
    </xf>
    <xf numFmtId="16" fontId="2" fillId="0" borderId="2" xfId="0" quotePrefix="1" applyNumberFormat="1" applyFont="1" applyBorder="1">
      <alignment vertical="center"/>
    </xf>
    <xf numFmtId="0" fontId="2" fillId="0" borderId="6" xfId="0" applyFont="1" applyBorder="1" applyAlignment="1">
      <alignment horizontal="center" vertical="center"/>
    </xf>
    <xf numFmtId="0" fontId="2" fillId="0" borderId="6" xfId="0" applyFont="1" applyBorder="1" applyAlignment="1">
      <alignment horizontal="left" vertical="center"/>
    </xf>
    <xf numFmtId="0" fontId="2" fillId="0" borderId="6" xfId="0" quotePrefix="1" applyFont="1" applyBorder="1">
      <alignment vertical="center"/>
    </xf>
    <xf numFmtId="0" fontId="2" fillId="0" borderId="6" xfId="0" applyFont="1" applyBorder="1">
      <alignment vertical="center"/>
    </xf>
    <xf numFmtId="0" fontId="2" fillId="0" borderId="5" xfId="0" applyFont="1" applyBorder="1" applyAlignment="1">
      <alignment horizontal="center" vertical="center"/>
    </xf>
    <xf numFmtId="16" fontId="2" fillId="0" borderId="5" xfId="0" quotePrefix="1" applyNumberFormat="1" applyFont="1" applyBorder="1">
      <alignment vertical="center"/>
    </xf>
    <xf numFmtId="0" fontId="2" fillId="0" borderId="14" xfId="0" quotePrefix="1" applyFont="1" applyBorder="1">
      <alignment vertical="center"/>
    </xf>
    <xf numFmtId="0" fontId="2" fillId="0" borderId="5" xfId="0" applyFont="1" applyBorder="1" applyAlignment="1">
      <alignment horizontal="left" vertical="center"/>
    </xf>
    <xf numFmtId="0" fontId="2" fillId="0" borderId="5" xfId="0" quotePrefix="1" applyFont="1" applyBorder="1">
      <alignment vertical="center"/>
    </xf>
    <xf numFmtId="0" fontId="2" fillId="0" borderId="5" xfId="0" applyFont="1" applyBorder="1">
      <alignment vertical="center"/>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16" fontId="2" fillId="0" borderId="3" xfId="0" quotePrefix="1" applyNumberFormat="1" applyFont="1" applyBorder="1">
      <alignment vertical="center"/>
    </xf>
    <xf numFmtId="0" fontId="0" fillId="0" borderId="0" xfId="0" quotePrefix="1">
      <alignment vertical="center"/>
    </xf>
    <xf numFmtId="0" fontId="2" fillId="7" borderId="3" xfId="0" applyFont="1" applyFill="1" applyBorder="1" applyAlignment="1">
      <alignment horizontal="left" vertical="center"/>
    </xf>
    <xf numFmtId="0" fontId="2" fillId="7" borderId="3" xfId="0" applyFont="1" applyFill="1" applyBorder="1" applyAlignment="1">
      <alignment horizontal="center" vertical="center"/>
    </xf>
    <xf numFmtId="0" fontId="2" fillId="7" borderId="3" xfId="0" quotePrefix="1" applyFont="1" applyFill="1" applyBorder="1">
      <alignment vertical="center"/>
    </xf>
    <xf numFmtId="0" fontId="2" fillId="7" borderId="3" xfId="0" applyFont="1" applyFill="1" applyBorder="1">
      <alignment vertical="center"/>
    </xf>
    <xf numFmtId="16" fontId="2" fillId="7" borderId="3" xfId="0" quotePrefix="1" applyNumberFormat="1" applyFont="1" applyFill="1" applyBorder="1">
      <alignment vertical="center"/>
    </xf>
    <xf numFmtId="16" fontId="2" fillId="0" borderId="14" xfId="0" quotePrefix="1" applyNumberFormat="1" applyFont="1" applyBorder="1">
      <alignment vertical="center"/>
    </xf>
    <xf numFmtId="0" fontId="2" fillId="0" borderId="0" xfId="0" quotePrefix="1" applyFont="1">
      <alignment vertical="center"/>
    </xf>
    <xf numFmtId="0" fontId="0" fillId="2" borderId="1" xfId="0" applyFill="1" applyBorder="1" applyAlignment="1">
      <alignment horizontal="left" vertical="center" wrapText="1" indent="1"/>
    </xf>
    <xf numFmtId="0" fontId="0" fillId="0" borderId="2" xfId="0" applyBorder="1" applyAlignment="1">
      <alignment horizontal="left" vertical="center" wrapText="1" indent="1"/>
    </xf>
    <xf numFmtId="0" fontId="0" fillId="0" borderId="4" xfId="0" applyBorder="1" applyAlignment="1">
      <alignment horizontal="left" vertical="center" wrapText="1" indent="1"/>
    </xf>
    <xf numFmtId="0" fontId="0" fillId="0" borderId="0" xfId="0" applyAlignment="1">
      <alignment horizontal="left" vertical="center" wrapText="1" indent="1"/>
    </xf>
    <xf numFmtId="0" fontId="0" fillId="0" borderId="7" xfId="0" applyBorder="1" applyAlignment="1">
      <alignment horizontal="center" vertical="center"/>
    </xf>
    <xf numFmtId="0" fontId="0" fillId="0" borderId="7" xfId="0" applyBorder="1" applyAlignment="1">
      <alignment horizontal="left" vertical="center"/>
    </xf>
    <xf numFmtId="0" fontId="2" fillId="0" borderId="4" xfId="0" applyFont="1" applyBorder="1" applyAlignment="1">
      <alignment vertical="center" wrapText="1"/>
    </xf>
    <xf numFmtId="0" fontId="2" fillId="0" borderId="3" xfId="0" applyFont="1" applyBorder="1" applyAlignment="1">
      <alignment horizontal="center" vertical="center"/>
    </xf>
    <xf numFmtId="0" fontId="0" fillId="0" borderId="3" xfId="0" applyBorder="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2" fillId="0" borderId="3" xfId="0" quotePrefix="1" applyFont="1" applyBorder="1" applyAlignment="1">
      <alignment horizontal="center" vertical="center"/>
    </xf>
    <xf numFmtId="0" fontId="2" fillId="0" borderId="7" xfId="0" applyFont="1" applyBorder="1" applyAlignment="1">
      <alignment horizontal="center" vertical="center"/>
    </xf>
    <xf numFmtId="0" fontId="2" fillId="0" borderId="4" xfId="0" applyFont="1" applyBorder="1" applyAlignment="1">
      <alignment horizontal="center" vertical="center"/>
    </xf>
    <xf numFmtId="0" fontId="2" fillId="0" borderId="7" xfId="0" quotePrefix="1" applyFont="1" applyBorder="1" applyAlignment="1">
      <alignment horizontal="center" vertical="center"/>
    </xf>
    <xf numFmtId="0" fontId="2" fillId="0" borderId="4" xfId="0" quotePrefix="1" applyFont="1" applyBorder="1" applyAlignment="1">
      <alignment horizontal="center" vertical="center"/>
    </xf>
    <xf numFmtId="0" fontId="2" fillId="0" borderId="3" xfId="0" applyFont="1" applyBorder="1" applyAlignment="1">
      <alignment horizontal="left" vertical="center"/>
    </xf>
    <xf numFmtId="0" fontId="0" fillId="0" borderId="3" xfId="0" applyBorder="1" applyAlignment="1">
      <alignment horizontal="left" vertical="center"/>
    </xf>
    <xf numFmtId="0" fontId="2" fillId="0" borderId="3" xfId="0" applyFont="1" applyBorder="1" applyAlignment="1">
      <alignment horizontal="left" vertical="center" wrapText="1"/>
    </xf>
    <xf numFmtId="0" fontId="0" fillId="0" borderId="7" xfId="0" applyBorder="1" applyAlignment="1">
      <alignment horizontal="left" vertical="center"/>
    </xf>
    <xf numFmtId="0" fontId="0" fillId="0" borderId="4" xfId="0" applyBorder="1" applyAlignment="1">
      <alignment horizontal="left" vertical="center"/>
    </xf>
    <xf numFmtId="0" fontId="0" fillId="5" borderId="11" xfId="0" applyFill="1" applyBorder="1" applyAlignment="1" applyProtection="1">
      <alignment horizontal="left" vertical="center" wrapText="1"/>
      <protection locked="0"/>
    </xf>
    <xf numFmtId="0" fontId="0" fillId="5" borderId="12" xfId="0" applyFill="1" applyBorder="1" applyAlignment="1" applyProtection="1">
      <alignment horizontal="left" vertical="center" wrapText="1"/>
      <protection locked="0"/>
    </xf>
    <xf numFmtId="0" fontId="0" fillId="5" borderId="13" xfId="0" applyFill="1" applyBorder="1" applyAlignment="1" applyProtection="1">
      <alignment horizontal="left" vertical="center" wrapText="1"/>
      <protection locked="0"/>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13" xfId="0" applyFill="1" applyBorder="1" applyAlignment="1">
      <alignment horizontal="center" vertical="center"/>
    </xf>
    <xf numFmtId="0" fontId="0" fillId="4" borderId="8" xfId="0"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6" borderId="1" xfId="0" applyFill="1" applyBorder="1" applyAlignment="1">
      <alignment horizontal="center" vertical="center"/>
    </xf>
    <xf numFmtId="0" fontId="2" fillId="6" borderId="1" xfId="0" applyFont="1" applyFill="1" applyBorder="1" applyAlignment="1">
      <alignment horizontal="center" vertical="center"/>
    </xf>
    <xf numFmtId="0" fontId="2" fillId="6" borderId="11" xfId="0" applyFont="1" applyFill="1" applyBorder="1" applyAlignment="1">
      <alignment horizontal="center" vertical="center"/>
    </xf>
    <xf numFmtId="0" fontId="2" fillId="4" borderId="11" xfId="0" applyFont="1" applyFill="1" applyBorder="1" applyAlignment="1">
      <alignment horizontal="left" vertical="top" wrapText="1"/>
    </xf>
    <xf numFmtId="0" fontId="0" fillId="0" borderId="12" xfId="0" applyBorder="1" applyAlignment="1">
      <alignment horizontal="left" vertical="center"/>
    </xf>
    <xf numFmtId="0" fontId="0" fillId="0" borderId="12" xfId="0" applyBorder="1">
      <alignment vertical="center"/>
    </xf>
    <xf numFmtId="0" fontId="0" fillId="0" borderId="13" xfId="0" applyBorder="1">
      <alignment vertical="center"/>
    </xf>
    <xf numFmtId="0" fontId="0" fillId="5" borderId="12" xfId="0" applyFill="1" applyBorder="1" applyAlignment="1" applyProtection="1">
      <alignment vertical="center" wrapText="1"/>
      <protection locked="0"/>
    </xf>
    <xf numFmtId="0" fontId="0" fillId="5" borderId="13" xfId="0" applyFill="1" applyBorder="1" applyAlignment="1" applyProtection="1">
      <alignment vertical="center" wrapText="1"/>
      <protection locked="0"/>
    </xf>
    <xf numFmtId="0" fontId="0" fillId="4" borderId="5" xfId="0" applyFill="1" applyBorder="1">
      <alignment vertical="center"/>
    </xf>
    <xf numFmtId="0" fontId="0" fillId="0" borderId="6" xfId="0" applyBorder="1">
      <alignment vertical="center"/>
    </xf>
    <xf numFmtId="0" fontId="0" fillId="4" borderId="11" xfId="0" applyFill="1" applyBorder="1">
      <alignment vertical="center"/>
    </xf>
    <xf numFmtId="0" fontId="0" fillId="4" borderId="12" xfId="0" applyFill="1" applyBorder="1">
      <alignment vertical="center"/>
    </xf>
    <xf numFmtId="0" fontId="0" fillId="5" borderId="11" xfId="0" applyFill="1" applyBorder="1" applyAlignment="1" applyProtection="1">
      <alignment horizontal="left" vertical="center"/>
      <protection locked="0"/>
    </xf>
    <xf numFmtId="0" fontId="0" fillId="5" borderId="12" xfId="0" applyFill="1" applyBorder="1">
      <alignment vertical="center"/>
    </xf>
    <xf numFmtId="0" fontId="0" fillId="5" borderId="13" xfId="0" applyFill="1" applyBorder="1">
      <alignment vertical="center"/>
    </xf>
    <xf numFmtId="0" fontId="2" fillId="4" borderId="11" xfId="0" applyFont="1" applyFill="1" applyBorder="1" applyAlignment="1">
      <alignment horizontal="left" vertical="center" indent="1"/>
    </xf>
    <xf numFmtId="0" fontId="0" fillId="0" borderId="12" xfId="0" applyBorder="1" applyAlignment="1">
      <alignment horizontal="left" vertical="center" indent="1"/>
    </xf>
    <xf numFmtId="0" fontId="0" fillId="0" borderId="13" xfId="0" applyBorder="1" applyAlignment="1">
      <alignment horizontal="left" vertical="center" indent="1"/>
    </xf>
    <xf numFmtId="0" fontId="2" fillId="5" borderId="11" xfId="0" applyFont="1" applyFill="1" applyBorder="1" applyAlignment="1" applyProtection="1">
      <alignment horizontal="left" vertical="center" indent="1"/>
      <protection locked="0"/>
    </xf>
    <xf numFmtId="0" fontId="0" fillId="0" borderId="12" xfId="0" applyBorder="1" applyAlignment="1" applyProtection="1">
      <alignment horizontal="left" vertical="center" indent="1"/>
      <protection locked="0"/>
    </xf>
    <xf numFmtId="0" fontId="0" fillId="0" borderId="13" xfId="0" applyBorder="1" applyAlignment="1" applyProtection="1">
      <alignment horizontal="left" vertical="center" indent="1"/>
      <protection locked="0"/>
    </xf>
    <xf numFmtId="0" fontId="2" fillId="4" borderId="11" xfId="0" applyFont="1" applyFill="1" applyBorder="1" applyAlignment="1">
      <alignment horizontal="left" vertical="top" wrapText="1"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spPr>
            <a:ln w="28575" cap="rnd">
              <a:solidFill>
                <a:schemeClr val="accent3"/>
              </a:solidFill>
              <a:round/>
            </a:ln>
            <a:effectLst/>
          </c:spPr>
          <c:marker>
            <c:symbol val="none"/>
          </c:marker>
          <c:cat>
            <c:numRef>
              <c:f>'Example Coffee 2'!$O$63:$O$166</c:f>
              <c:numCache>
                <c:formatCode>General</c:formatCode>
                <c:ptCount val="104"/>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numCache>
            </c:numRef>
          </c:cat>
          <c:val>
            <c:numRef>
              <c:f>'Example Coffee 2'!$Q$63:$Q$166</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0.5</c:v>
                </c:pt>
                <c:pt idx="27">
                  <c:v>1</c:v>
                </c:pt>
                <c:pt idx="28">
                  <c:v>1.5</c:v>
                </c:pt>
                <c:pt idx="29">
                  <c:v>2</c:v>
                </c:pt>
                <c:pt idx="30">
                  <c:v>2.5</c:v>
                </c:pt>
                <c:pt idx="31">
                  <c:v>3</c:v>
                </c:pt>
                <c:pt idx="32">
                  <c:v>3.5</c:v>
                </c:pt>
                <c:pt idx="33">
                  <c:v>4</c:v>
                </c:pt>
                <c:pt idx="34">
                  <c:v>4.2</c:v>
                </c:pt>
                <c:pt idx="35">
                  <c:v>4.4000000000000004</c:v>
                </c:pt>
                <c:pt idx="36">
                  <c:v>4.6000000000000005</c:v>
                </c:pt>
                <c:pt idx="37">
                  <c:v>4.8000000000000007</c:v>
                </c:pt>
                <c:pt idx="38">
                  <c:v>5.0000000000000009</c:v>
                </c:pt>
                <c:pt idx="39">
                  <c:v>5.2000000000000011</c:v>
                </c:pt>
                <c:pt idx="40">
                  <c:v>5.4000000000000012</c:v>
                </c:pt>
                <c:pt idx="41">
                  <c:v>5.6000000000000014</c:v>
                </c:pt>
                <c:pt idx="42">
                  <c:v>5.8000000000000016</c:v>
                </c:pt>
                <c:pt idx="43">
                  <c:v>6.0000000000000018</c:v>
                </c:pt>
                <c:pt idx="44">
                  <c:v>6.1000000000000014</c:v>
                </c:pt>
                <c:pt idx="45">
                  <c:v>6.2000000000000011</c:v>
                </c:pt>
                <c:pt idx="46">
                  <c:v>6.3000000000000007</c:v>
                </c:pt>
                <c:pt idx="47">
                  <c:v>6.4</c:v>
                </c:pt>
                <c:pt idx="48">
                  <c:v>6.5</c:v>
                </c:pt>
                <c:pt idx="49">
                  <c:v>6.6</c:v>
                </c:pt>
                <c:pt idx="50">
                  <c:v>6.6999999999999993</c:v>
                </c:pt>
                <c:pt idx="51">
                  <c:v>6.7999999999999989</c:v>
                </c:pt>
                <c:pt idx="52">
                  <c:v>6.8999999999999986</c:v>
                </c:pt>
                <c:pt idx="53">
                  <c:v>6.9999999999999982</c:v>
                </c:pt>
                <c:pt idx="54">
                  <c:v>7.0999999999999979</c:v>
                </c:pt>
                <c:pt idx="55">
                  <c:v>7.1999999999999975</c:v>
                </c:pt>
                <c:pt idx="56">
                  <c:v>7.2999999999999972</c:v>
                </c:pt>
                <c:pt idx="57">
                  <c:v>7.3999999999999968</c:v>
                </c:pt>
                <c:pt idx="58">
                  <c:v>7.4999999999999964</c:v>
                </c:pt>
                <c:pt idx="59">
                  <c:v>7.5999999999999961</c:v>
                </c:pt>
                <c:pt idx="60">
                  <c:v>7.6999999999999957</c:v>
                </c:pt>
                <c:pt idx="61">
                  <c:v>7.7999999999999954</c:v>
                </c:pt>
                <c:pt idx="62">
                  <c:v>7.899999999999995</c:v>
                </c:pt>
                <c:pt idx="63">
                  <c:v>7.9999999999999947</c:v>
                </c:pt>
                <c:pt idx="64">
                  <c:v>8.0499999999999954</c:v>
                </c:pt>
                <c:pt idx="65">
                  <c:v>8.0999999999999961</c:v>
                </c:pt>
                <c:pt idx="66">
                  <c:v>8.1499999999999968</c:v>
                </c:pt>
                <c:pt idx="67">
                  <c:v>8.1999999999999975</c:v>
                </c:pt>
                <c:pt idx="68">
                  <c:v>8.2499999999999982</c:v>
                </c:pt>
                <c:pt idx="69">
                  <c:v>8.2999999999999989</c:v>
                </c:pt>
                <c:pt idx="70">
                  <c:v>8.35</c:v>
                </c:pt>
                <c:pt idx="71">
                  <c:v>8.4</c:v>
                </c:pt>
                <c:pt idx="72">
                  <c:v>8.4500000000000011</c:v>
                </c:pt>
                <c:pt idx="73">
                  <c:v>8.5000000000000018</c:v>
                </c:pt>
                <c:pt idx="74">
                  <c:v>8.5500000000000025</c:v>
                </c:pt>
                <c:pt idx="75">
                  <c:v>8.6000000000000032</c:v>
                </c:pt>
                <c:pt idx="76">
                  <c:v>8.6500000000000039</c:v>
                </c:pt>
                <c:pt idx="77">
                  <c:v>8.7000000000000046</c:v>
                </c:pt>
                <c:pt idx="78">
                  <c:v>8.7500000000000053</c:v>
                </c:pt>
                <c:pt idx="79">
                  <c:v>8.800000000000006</c:v>
                </c:pt>
                <c:pt idx="80">
                  <c:v>8.8500000000000068</c:v>
                </c:pt>
                <c:pt idx="81">
                  <c:v>8.9000000000000075</c:v>
                </c:pt>
                <c:pt idx="82">
                  <c:v>8.9500000000000082</c:v>
                </c:pt>
                <c:pt idx="83">
                  <c:v>9.0000000000000089</c:v>
                </c:pt>
                <c:pt idx="84">
                  <c:v>9.0500000000000096</c:v>
                </c:pt>
                <c:pt idx="85">
                  <c:v>9.1000000000000103</c:v>
                </c:pt>
                <c:pt idx="86">
                  <c:v>9.150000000000011</c:v>
                </c:pt>
                <c:pt idx="87">
                  <c:v>9.2000000000000117</c:v>
                </c:pt>
                <c:pt idx="88">
                  <c:v>9.2500000000000124</c:v>
                </c:pt>
                <c:pt idx="89">
                  <c:v>9.3000000000000131</c:v>
                </c:pt>
                <c:pt idx="90">
                  <c:v>9.3500000000000139</c:v>
                </c:pt>
                <c:pt idx="91">
                  <c:v>9.4000000000000146</c:v>
                </c:pt>
                <c:pt idx="92">
                  <c:v>9.4500000000000153</c:v>
                </c:pt>
                <c:pt idx="93">
                  <c:v>9.500000000000016</c:v>
                </c:pt>
                <c:pt idx="94">
                  <c:v>9.5500000000000167</c:v>
                </c:pt>
                <c:pt idx="95">
                  <c:v>9.6000000000000174</c:v>
                </c:pt>
                <c:pt idx="96">
                  <c:v>9.6500000000000181</c:v>
                </c:pt>
                <c:pt idx="97">
                  <c:v>9.7000000000000188</c:v>
                </c:pt>
                <c:pt idx="98">
                  <c:v>9.7500000000000195</c:v>
                </c:pt>
                <c:pt idx="99">
                  <c:v>9.8000000000000203</c:v>
                </c:pt>
                <c:pt idx="100">
                  <c:v>9.850000000000021</c:v>
                </c:pt>
                <c:pt idx="101">
                  <c:v>9.9000000000000217</c:v>
                </c:pt>
                <c:pt idx="102">
                  <c:v>9.9500000000000224</c:v>
                </c:pt>
                <c:pt idx="103">
                  <c:v>10.000000000000023</c:v>
                </c:pt>
              </c:numCache>
            </c:numRef>
          </c:val>
          <c:smooth val="0"/>
          <c:extLst>
            <c:ext xmlns:c16="http://schemas.microsoft.com/office/drawing/2014/chart" uri="{C3380CC4-5D6E-409C-BE32-E72D297353CC}">
              <c16:uniqueId val="{00000000-6B72-453F-ABE2-884F0F96E95F}"/>
            </c:ext>
          </c:extLst>
        </c:ser>
        <c:ser>
          <c:idx val="0"/>
          <c:order val="1"/>
          <c:spPr>
            <a:ln w="28575" cap="rnd">
              <a:solidFill>
                <a:srgbClr val="FFC000"/>
              </a:solidFill>
              <a:round/>
            </a:ln>
            <a:effectLst/>
          </c:spPr>
          <c:marker>
            <c:symbol val="none"/>
          </c:marker>
          <c:cat>
            <c:numRef>
              <c:f>'Example Coffee 2'!$O$63:$O$166</c:f>
              <c:numCache>
                <c:formatCode>General</c:formatCode>
                <c:ptCount val="104"/>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numCache>
            </c:numRef>
          </c:cat>
          <c:val>
            <c:numRef>
              <c:f>'Example Coffee 2'!$R$63:$R$166</c:f>
              <c:numCache>
                <c:formatCode>General</c:formatCode>
                <c:ptCount val="104"/>
                <c:pt idx="0">
                  <c:v>5</c:v>
                </c:pt>
                <c:pt idx="1">
                  <c:v>5</c:v>
                </c:pt>
                <c:pt idx="2">
                  <c:v>5</c:v>
                </c:pt>
                <c:pt idx="3">
                  <c:v>5</c:v>
                </c:pt>
                <c:pt idx="4">
                  <c:v>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c:v>
                </c:pt>
                <c:pt idx="26">
                  <c:v>4</c:v>
                </c:pt>
                <c:pt idx="27">
                  <c:v>4</c:v>
                </c:pt>
                <c:pt idx="28">
                  <c:v>4</c:v>
                </c:pt>
                <c:pt idx="29">
                  <c:v>4</c:v>
                </c:pt>
                <c:pt idx="30">
                  <c:v>4</c:v>
                </c:pt>
                <c:pt idx="31">
                  <c:v>4</c:v>
                </c:pt>
                <c:pt idx="32">
                  <c:v>4</c:v>
                </c:pt>
                <c:pt idx="33">
                  <c:v>4</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numCache>
            </c:numRef>
          </c:val>
          <c:smooth val="0"/>
          <c:extLst>
            <c:ext xmlns:c16="http://schemas.microsoft.com/office/drawing/2014/chart" uri="{C3380CC4-5D6E-409C-BE32-E72D297353CC}">
              <c16:uniqueId val="{00000003-6B72-453F-ABE2-884F0F96E95F}"/>
            </c:ext>
          </c:extLst>
        </c:ser>
        <c:dLbls>
          <c:showLegendKey val="0"/>
          <c:showVal val="0"/>
          <c:showCatName val="0"/>
          <c:showSerName val="0"/>
          <c:showPercent val="0"/>
          <c:showBubbleSize val="0"/>
        </c:dLbls>
        <c:smooth val="0"/>
        <c:axId val="808921968"/>
        <c:axId val="808918688"/>
      </c:lineChart>
      <c:catAx>
        <c:axId val="80892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918688"/>
        <c:crosses val="autoZero"/>
        <c:auto val="1"/>
        <c:lblAlgn val="ctr"/>
        <c:lblOffset val="100"/>
        <c:noMultiLvlLbl val="0"/>
      </c:catAx>
      <c:valAx>
        <c:axId val="808918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92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spPr>
            <a:ln w="34925" cap="rnd">
              <a:solidFill>
                <a:schemeClr val="accent3"/>
              </a:solidFill>
              <a:round/>
            </a:ln>
            <a:effectLst>
              <a:outerShdw blurRad="57150" dist="19050" dir="5400000" algn="ctr" rotWithShape="0">
                <a:srgbClr val="000000">
                  <a:alpha val="63000"/>
                </a:srgbClr>
              </a:outerShdw>
            </a:effectLst>
          </c:spPr>
          <c:marker>
            <c:symbol val="none"/>
          </c:marker>
          <c:cat>
            <c:numRef>
              <c:f>'Example Coffee 2'!$AP$63:$AP$167</c:f>
              <c:numCache>
                <c:formatCode>General</c:formatCode>
                <c:ptCount val="105"/>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numCache>
            </c:numRef>
          </c:cat>
          <c:val>
            <c:numRef>
              <c:f>'Example Coffee 2'!$AR$63:$AR$167</c:f>
              <c:numCache>
                <c:formatCode>General</c:formatCode>
                <c:ptCount val="10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0.5</c:v>
                </c:pt>
                <c:pt idx="27">
                  <c:v>1</c:v>
                </c:pt>
                <c:pt idx="28">
                  <c:v>1.5</c:v>
                </c:pt>
                <c:pt idx="29">
                  <c:v>2</c:v>
                </c:pt>
                <c:pt idx="30">
                  <c:v>2.5</c:v>
                </c:pt>
                <c:pt idx="31">
                  <c:v>3</c:v>
                </c:pt>
                <c:pt idx="32">
                  <c:v>3.5</c:v>
                </c:pt>
                <c:pt idx="33">
                  <c:v>4</c:v>
                </c:pt>
                <c:pt idx="34">
                  <c:v>4.3</c:v>
                </c:pt>
                <c:pt idx="35">
                  <c:v>4.5999999999999996</c:v>
                </c:pt>
                <c:pt idx="36">
                  <c:v>4.8999999999999995</c:v>
                </c:pt>
                <c:pt idx="37">
                  <c:v>5.1999999999999993</c:v>
                </c:pt>
                <c:pt idx="38">
                  <c:v>5.4999999999999991</c:v>
                </c:pt>
                <c:pt idx="39">
                  <c:v>5.7999999999999989</c:v>
                </c:pt>
                <c:pt idx="40">
                  <c:v>6.0999999999999988</c:v>
                </c:pt>
                <c:pt idx="41">
                  <c:v>6.3999999999999986</c:v>
                </c:pt>
                <c:pt idx="42">
                  <c:v>6.6999999999999984</c:v>
                </c:pt>
                <c:pt idx="43">
                  <c:v>6.9999999999999982</c:v>
                </c:pt>
                <c:pt idx="44">
                  <c:v>7.1999999999999984</c:v>
                </c:pt>
                <c:pt idx="45">
                  <c:v>7.3999999999999986</c:v>
                </c:pt>
                <c:pt idx="46">
                  <c:v>7.5999999999999988</c:v>
                </c:pt>
                <c:pt idx="47">
                  <c:v>7.7999999999999989</c:v>
                </c:pt>
                <c:pt idx="48">
                  <c:v>7.9999999999999991</c:v>
                </c:pt>
                <c:pt idx="49">
                  <c:v>8.1999999999999993</c:v>
                </c:pt>
                <c:pt idx="50">
                  <c:v>8.3999999999999986</c:v>
                </c:pt>
                <c:pt idx="51">
                  <c:v>8.5999999999999979</c:v>
                </c:pt>
                <c:pt idx="52">
                  <c:v>8.7999999999999972</c:v>
                </c:pt>
                <c:pt idx="53">
                  <c:v>8.8999999999999968</c:v>
                </c:pt>
                <c:pt idx="54">
                  <c:v>8.9999999999999964</c:v>
                </c:pt>
                <c:pt idx="55">
                  <c:v>9.0999999999999961</c:v>
                </c:pt>
                <c:pt idx="56">
                  <c:v>9.1999999999999957</c:v>
                </c:pt>
                <c:pt idx="57">
                  <c:v>9.2999999999999954</c:v>
                </c:pt>
                <c:pt idx="58">
                  <c:v>9.399999999999995</c:v>
                </c:pt>
                <c:pt idx="59">
                  <c:v>9.4999999999999947</c:v>
                </c:pt>
                <c:pt idx="60">
                  <c:v>9.5999999999999943</c:v>
                </c:pt>
                <c:pt idx="61">
                  <c:v>9.699999999999994</c:v>
                </c:pt>
                <c:pt idx="62">
                  <c:v>9.7999999999999936</c:v>
                </c:pt>
                <c:pt idx="63">
                  <c:v>9.8999999999999932</c:v>
                </c:pt>
                <c:pt idx="64">
                  <c:v>9.949999999999994</c:v>
                </c:pt>
                <c:pt idx="65">
                  <c:v>9.9999999999999947</c:v>
                </c:pt>
                <c:pt idx="66">
                  <c:v>9.9999999999999947</c:v>
                </c:pt>
                <c:pt idx="67">
                  <c:v>9.9999999999999947</c:v>
                </c:pt>
                <c:pt idx="68">
                  <c:v>9.9999999999999947</c:v>
                </c:pt>
                <c:pt idx="69">
                  <c:v>9.9999999999999947</c:v>
                </c:pt>
                <c:pt idx="70">
                  <c:v>9.9999999999999947</c:v>
                </c:pt>
                <c:pt idx="71">
                  <c:v>9.9999999999999947</c:v>
                </c:pt>
                <c:pt idx="72">
                  <c:v>9.9999999999999947</c:v>
                </c:pt>
                <c:pt idx="73">
                  <c:v>9.9999999999999947</c:v>
                </c:pt>
                <c:pt idx="74">
                  <c:v>9.9999999999999947</c:v>
                </c:pt>
                <c:pt idx="75">
                  <c:v>9.949999999999994</c:v>
                </c:pt>
                <c:pt idx="76">
                  <c:v>9.8999999999999932</c:v>
                </c:pt>
                <c:pt idx="77">
                  <c:v>9.8499999999999925</c:v>
                </c:pt>
                <c:pt idx="78">
                  <c:v>9.7999999999999918</c:v>
                </c:pt>
                <c:pt idx="79">
                  <c:v>9.7499999999999911</c:v>
                </c:pt>
                <c:pt idx="80">
                  <c:v>9.6999999999999904</c:v>
                </c:pt>
                <c:pt idx="81">
                  <c:v>9.6499999999999897</c:v>
                </c:pt>
                <c:pt idx="82">
                  <c:v>9.599999999999989</c:v>
                </c:pt>
                <c:pt idx="83">
                  <c:v>9.5499999999999883</c:v>
                </c:pt>
                <c:pt idx="84">
                  <c:v>9.4999999999999876</c:v>
                </c:pt>
                <c:pt idx="85">
                  <c:v>9.4499999999999869</c:v>
                </c:pt>
                <c:pt idx="86">
                  <c:v>9.3999999999999861</c:v>
                </c:pt>
                <c:pt idx="87">
                  <c:v>9.3499999999999854</c:v>
                </c:pt>
                <c:pt idx="88">
                  <c:v>9.2999999999999847</c:v>
                </c:pt>
                <c:pt idx="89">
                  <c:v>9.249999999999984</c:v>
                </c:pt>
                <c:pt idx="90">
                  <c:v>9.1999999999999833</c:v>
                </c:pt>
                <c:pt idx="91">
                  <c:v>9.1499999999999826</c:v>
                </c:pt>
                <c:pt idx="92">
                  <c:v>9.0999999999999819</c:v>
                </c:pt>
                <c:pt idx="93">
                  <c:v>9.0499999999999812</c:v>
                </c:pt>
                <c:pt idx="94">
                  <c:v>8.9999999999999805</c:v>
                </c:pt>
                <c:pt idx="95">
                  <c:v>8.9499999999999797</c:v>
                </c:pt>
                <c:pt idx="96">
                  <c:v>8.899999999999979</c:v>
                </c:pt>
                <c:pt idx="97">
                  <c:v>8.8499999999999783</c:v>
                </c:pt>
                <c:pt idx="98">
                  <c:v>8.7999999999999776</c:v>
                </c:pt>
                <c:pt idx="99">
                  <c:v>8.7499999999999769</c:v>
                </c:pt>
                <c:pt idx="100">
                  <c:v>8.6999999999999762</c:v>
                </c:pt>
                <c:pt idx="101">
                  <c:v>8.6499999999999755</c:v>
                </c:pt>
                <c:pt idx="102">
                  <c:v>8.5999999999999748</c:v>
                </c:pt>
                <c:pt idx="103">
                  <c:v>8.5499999999999741</c:v>
                </c:pt>
                <c:pt idx="104">
                  <c:v>8.4999999999999734</c:v>
                </c:pt>
              </c:numCache>
            </c:numRef>
          </c:val>
          <c:smooth val="0"/>
          <c:extLst>
            <c:ext xmlns:c16="http://schemas.microsoft.com/office/drawing/2014/chart" uri="{C3380CC4-5D6E-409C-BE32-E72D297353CC}">
              <c16:uniqueId val="{00000000-AC7D-4398-8AD9-12037A818388}"/>
            </c:ext>
          </c:extLst>
        </c:ser>
        <c:ser>
          <c:idx val="3"/>
          <c:order val="1"/>
          <c:spPr>
            <a:ln w="34925" cap="rnd">
              <a:solidFill>
                <a:schemeClr val="accent4"/>
              </a:solidFill>
              <a:round/>
            </a:ln>
            <a:effectLst>
              <a:outerShdw blurRad="57150" dist="19050" dir="5400000" algn="ctr" rotWithShape="0">
                <a:srgbClr val="000000">
                  <a:alpha val="63000"/>
                </a:srgbClr>
              </a:outerShdw>
            </a:effectLst>
          </c:spPr>
          <c:marker>
            <c:symbol val="none"/>
          </c:marker>
          <c:cat>
            <c:numRef>
              <c:f>'Example Coffee 2'!$AP$63:$AP$167</c:f>
              <c:numCache>
                <c:formatCode>General</c:formatCode>
                <c:ptCount val="105"/>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numCache>
            </c:numRef>
          </c:cat>
          <c:val>
            <c:numRef>
              <c:f>'Example Coffee 2'!$AS$63:$AS$167</c:f>
              <c:numCache>
                <c:formatCode>General</c:formatCode>
                <c:ptCount val="105"/>
                <c:pt idx="0">
                  <c:v>5</c:v>
                </c:pt>
                <c:pt idx="1">
                  <c:v>5</c:v>
                </c:pt>
                <c:pt idx="2">
                  <c:v>5</c:v>
                </c:pt>
                <c:pt idx="3">
                  <c:v>5</c:v>
                </c:pt>
                <c:pt idx="4">
                  <c:v>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c:v>
                </c:pt>
                <c:pt idx="26">
                  <c:v>4</c:v>
                </c:pt>
                <c:pt idx="27">
                  <c:v>4</c:v>
                </c:pt>
                <c:pt idx="28">
                  <c:v>4</c:v>
                </c:pt>
                <c:pt idx="29">
                  <c:v>4</c:v>
                </c:pt>
                <c:pt idx="30">
                  <c:v>4</c:v>
                </c:pt>
                <c:pt idx="31">
                  <c:v>4</c:v>
                </c:pt>
                <c:pt idx="32">
                  <c:v>4</c:v>
                </c:pt>
                <c:pt idx="33">
                  <c:v>4</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1.9</c:v>
                </c:pt>
                <c:pt idx="66">
                  <c:v>1.7999999999999998</c:v>
                </c:pt>
                <c:pt idx="67">
                  <c:v>1.6999999999999997</c:v>
                </c:pt>
                <c:pt idx="68">
                  <c:v>1.5999999999999996</c:v>
                </c:pt>
                <c:pt idx="69">
                  <c:v>1.6999999999999997</c:v>
                </c:pt>
                <c:pt idx="70">
                  <c:v>1.7999999999999998</c:v>
                </c:pt>
                <c:pt idx="71">
                  <c:v>1.9</c:v>
                </c:pt>
                <c:pt idx="72">
                  <c:v>2</c:v>
                </c:pt>
                <c:pt idx="73">
                  <c:v>2.1</c:v>
                </c:pt>
                <c:pt idx="74">
                  <c:v>2.2000000000000002</c:v>
                </c:pt>
                <c:pt idx="75">
                  <c:v>2.3000000000000003</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numCache>
            </c:numRef>
          </c:val>
          <c:smooth val="0"/>
          <c:extLst>
            <c:ext xmlns:c16="http://schemas.microsoft.com/office/drawing/2014/chart" uri="{C3380CC4-5D6E-409C-BE32-E72D297353CC}">
              <c16:uniqueId val="{00000001-AC7D-4398-8AD9-12037A818388}"/>
            </c:ext>
          </c:extLst>
        </c:ser>
        <c:dLbls>
          <c:showLegendKey val="0"/>
          <c:showVal val="0"/>
          <c:showCatName val="0"/>
          <c:showSerName val="0"/>
          <c:showPercent val="0"/>
          <c:showBubbleSize val="0"/>
        </c:dLbls>
        <c:smooth val="0"/>
        <c:axId val="808921968"/>
        <c:axId val="808918688"/>
      </c:lineChart>
      <c:catAx>
        <c:axId val="8089219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time [s]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8918688"/>
        <c:crosses val="autoZero"/>
        <c:auto val="1"/>
        <c:lblAlgn val="ctr"/>
        <c:lblOffset val="100"/>
        <c:noMultiLvlLbl val="0"/>
      </c:catAx>
      <c:valAx>
        <c:axId val="808918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flow</a:t>
                </a:r>
                <a:r>
                  <a:rPr lang="en-US" baseline="0"/>
                  <a:t> [ml/s] or pressure [bar]</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892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spPr>
            <a:ln w="34925" cap="rnd">
              <a:solidFill>
                <a:schemeClr val="accent3"/>
              </a:solidFill>
              <a:round/>
            </a:ln>
            <a:effectLst>
              <a:outerShdw blurRad="57150" dist="19050" dir="5400000" algn="ctr" rotWithShape="0">
                <a:srgbClr val="000000">
                  <a:alpha val="63000"/>
                </a:srgbClr>
              </a:outerShdw>
            </a:effectLst>
          </c:spPr>
          <c:marker>
            <c:symbol val="none"/>
          </c:marker>
          <c:cat>
            <c:numRef>
              <c:f>'Example Coffee 2'!$CV$63:$CV$161</c:f>
              <c:numCache>
                <c:formatCode>General</c:formatCode>
                <c:ptCount val="99"/>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numCache>
            </c:numRef>
          </c:cat>
          <c:val>
            <c:numRef>
              <c:f>'Example Coffee 2'!$CX$63:$CX$161</c:f>
              <c:numCache>
                <c:formatCode>General</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0.5</c:v>
                </c:pt>
                <c:pt idx="27">
                  <c:v>1</c:v>
                </c:pt>
                <c:pt idx="28">
                  <c:v>1.5</c:v>
                </c:pt>
                <c:pt idx="29">
                  <c:v>2</c:v>
                </c:pt>
                <c:pt idx="30">
                  <c:v>2.5</c:v>
                </c:pt>
                <c:pt idx="31">
                  <c:v>3</c:v>
                </c:pt>
                <c:pt idx="32">
                  <c:v>3.5</c:v>
                </c:pt>
                <c:pt idx="33">
                  <c:v>4</c:v>
                </c:pt>
                <c:pt idx="34">
                  <c:v>4.3</c:v>
                </c:pt>
                <c:pt idx="35">
                  <c:v>4.5999999999999996</c:v>
                </c:pt>
                <c:pt idx="36">
                  <c:v>4.8999999999999995</c:v>
                </c:pt>
                <c:pt idx="37">
                  <c:v>5.1999999999999993</c:v>
                </c:pt>
                <c:pt idx="38">
                  <c:v>5.4999999999999991</c:v>
                </c:pt>
                <c:pt idx="39">
                  <c:v>5.7999999999999989</c:v>
                </c:pt>
                <c:pt idx="40">
                  <c:v>6.0999999999999988</c:v>
                </c:pt>
                <c:pt idx="41">
                  <c:v>6.3999999999999986</c:v>
                </c:pt>
                <c:pt idx="42">
                  <c:v>6.6999999999999984</c:v>
                </c:pt>
                <c:pt idx="43">
                  <c:v>6.9999999999999982</c:v>
                </c:pt>
                <c:pt idx="44">
                  <c:v>7.1999999999999984</c:v>
                </c:pt>
                <c:pt idx="45">
                  <c:v>7.3999999999999986</c:v>
                </c:pt>
                <c:pt idx="46">
                  <c:v>7.5999999999999988</c:v>
                </c:pt>
                <c:pt idx="47">
                  <c:v>7.7999999999999989</c:v>
                </c:pt>
                <c:pt idx="48">
                  <c:v>7.9999999999999991</c:v>
                </c:pt>
                <c:pt idx="49">
                  <c:v>8.1999999999999993</c:v>
                </c:pt>
                <c:pt idx="50">
                  <c:v>8.3999999999999986</c:v>
                </c:pt>
                <c:pt idx="51">
                  <c:v>8.5999999999999979</c:v>
                </c:pt>
                <c:pt idx="52">
                  <c:v>8.7999999999999972</c:v>
                </c:pt>
                <c:pt idx="53">
                  <c:v>8.8999999999999968</c:v>
                </c:pt>
                <c:pt idx="54">
                  <c:v>8.9999999999999964</c:v>
                </c:pt>
                <c:pt idx="55">
                  <c:v>9.0999999999999961</c:v>
                </c:pt>
                <c:pt idx="56">
                  <c:v>9.1999999999999957</c:v>
                </c:pt>
                <c:pt idx="57">
                  <c:v>9.2999999999999954</c:v>
                </c:pt>
                <c:pt idx="58">
                  <c:v>9.399999999999995</c:v>
                </c:pt>
                <c:pt idx="59">
                  <c:v>9.4999999999999947</c:v>
                </c:pt>
                <c:pt idx="60">
                  <c:v>9.5999999999999943</c:v>
                </c:pt>
                <c:pt idx="61">
                  <c:v>9.699999999999994</c:v>
                </c:pt>
                <c:pt idx="62">
                  <c:v>9.7999999999999936</c:v>
                </c:pt>
                <c:pt idx="63">
                  <c:v>9.8999999999999932</c:v>
                </c:pt>
                <c:pt idx="64">
                  <c:v>9.949999999999994</c:v>
                </c:pt>
                <c:pt idx="65">
                  <c:v>9.9999999999999947</c:v>
                </c:pt>
                <c:pt idx="66">
                  <c:v>9.9999999999999947</c:v>
                </c:pt>
                <c:pt idx="67">
                  <c:v>9.9999999999999947</c:v>
                </c:pt>
                <c:pt idx="68">
                  <c:v>9.9999999999999947</c:v>
                </c:pt>
                <c:pt idx="69">
                  <c:v>9.9999999999999947</c:v>
                </c:pt>
                <c:pt idx="70">
                  <c:v>9.9999999999999947</c:v>
                </c:pt>
                <c:pt idx="71">
                  <c:v>9.9999999999999947</c:v>
                </c:pt>
                <c:pt idx="72">
                  <c:v>9.9999999999999947</c:v>
                </c:pt>
                <c:pt idx="73">
                  <c:v>9.9999999999999947</c:v>
                </c:pt>
                <c:pt idx="74">
                  <c:v>9.9999999999999947</c:v>
                </c:pt>
                <c:pt idx="75">
                  <c:v>9.9999999999999947</c:v>
                </c:pt>
                <c:pt idx="76">
                  <c:v>9.9999999999999947</c:v>
                </c:pt>
                <c:pt idx="77">
                  <c:v>9.9999999999999947</c:v>
                </c:pt>
                <c:pt idx="78">
                  <c:v>9.9999999999999947</c:v>
                </c:pt>
                <c:pt idx="79">
                  <c:v>9.9999999999999947</c:v>
                </c:pt>
                <c:pt idx="80">
                  <c:v>9.9999999999999947</c:v>
                </c:pt>
                <c:pt idx="81">
                  <c:v>9.9999999999999947</c:v>
                </c:pt>
                <c:pt idx="82">
                  <c:v>9.9999999999999947</c:v>
                </c:pt>
                <c:pt idx="83">
                  <c:v>9.9999999999999947</c:v>
                </c:pt>
                <c:pt idx="84">
                  <c:v>9.9999999999999947</c:v>
                </c:pt>
                <c:pt idx="85">
                  <c:v>9.9999999999999947</c:v>
                </c:pt>
                <c:pt idx="86">
                  <c:v>9.9999999999999947</c:v>
                </c:pt>
                <c:pt idx="87">
                  <c:v>9.9999999999999947</c:v>
                </c:pt>
                <c:pt idx="88">
                  <c:v>9.9999999999999947</c:v>
                </c:pt>
                <c:pt idx="89">
                  <c:v>9.9999999999999947</c:v>
                </c:pt>
                <c:pt idx="90">
                  <c:v>9.9999999999999947</c:v>
                </c:pt>
                <c:pt idx="91">
                  <c:v>9.9999999999999947</c:v>
                </c:pt>
                <c:pt idx="92">
                  <c:v>9.9999999999999947</c:v>
                </c:pt>
                <c:pt idx="93">
                  <c:v>9.9999999999999947</c:v>
                </c:pt>
                <c:pt idx="94">
                  <c:v>9.9999999999999947</c:v>
                </c:pt>
                <c:pt idx="95">
                  <c:v>9.9999999999999947</c:v>
                </c:pt>
                <c:pt idx="96">
                  <c:v>9.9999999999999947</c:v>
                </c:pt>
                <c:pt idx="97">
                  <c:v>9.9999999999999947</c:v>
                </c:pt>
                <c:pt idx="98">
                  <c:v>9.9999999999999947</c:v>
                </c:pt>
              </c:numCache>
            </c:numRef>
          </c:val>
          <c:smooth val="0"/>
          <c:extLst>
            <c:ext xmlns:c16="http://schemas.microsoft.com/office/drawing/2014/chart" uri="{C3380CC4-5D6E-409C-BE32-E72D297353CC}">
              <c16:uniqueId val="{00000000-B598-48D6-91CA-733521F29F93}"/>
            </c:ext>
          </c:extLst>
        </c:ser>
        <c:ser>
          <c:idx val="3"/>
          <c:order val="1"/>
          <c:spPr>
            <a:ln w="34925" cap="rnd">
              <a:solidFill>
                <a:schemeClr val="accent4"/>
              </a:solidFill>
              <a:round/>
            </a:ln>
            <a:effectLst>
              <a:outerShdw blurRad="57150" dist="19050" dir="5400000" algn="ctr" rotWithShape="0">
                <a:srgbClr val="000000">
                  <a:alpha val="63000"/>
                </a:srgbClr>
              </a:outerShdw>
            </a:effectLst>
          </c:spPr>
          <c:marker>
            <c:symbol val="none"/>
          </c:marker>
          <c:cat>
            <c:numRef>
              <c:f>'Example Coffee 2'!$CV$63:$CV$161</c:f>
              <c:numCache>
                <c:formatCode>General</c:formatCode>
                <c:ptCount val="99"/>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numCache>
            </c:numRef>
          </c:cat>
          <c:val>
            <c:numRef>
              <c:f>'Example Coffee 2'!$CY$63:$CY$161</c:f>
              <c:numCache>
                <c:formatCode>General</c:formatCode>
                <c:ptCount val="99"/>
                <c:pt idx="0">
                  <c:v>5</c:v>
                </c:pt>
                <c:pt idx="1">
                  <c:v>5</c:v>
                </c:pt>
                <c:pt idx="2">
                  <c:v>5</c:v>
                </c:pt>
                <c:pt idx="3">
                  <c:v>5</c:v>
                </c:pt>
                <c:pt idx="4">
                  <c:v>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c:v>
                </c:pt>
                <c:pt idx="26">
                  <c:v>4</c:v>
                </c:pt>
                <c:pt idx="27">
                  <c:v>4</c:v>
                </c:pt>
                <c:pt idx="28">
                  <c:v>4</c:v>
                </c:pt>
                <c:pt idx="29">
                  <c:v>4</c:v>
                </c:pt>
                <c:pt idx="30">
                  <c:v>4</c:v>
                </c:pt>
                <c:pt idx="31">
                  <c:v>4</c:v>
                </c:pt>
                <c:pt idx="32">
                  <c:v>4</c:v>
                </c:pt>
                <c:pt idx="33">
                  <c:v>4</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1.9</c:v>
                </c:pt>
                <c:pt idx="66">
                  <c:v>1.7999999999999998</c:v>
                </c:pt>
                <c:pt idx="67">
                  <c:v>1.6999999999999997</c:v>
                </c:pt>
                <c:pt idx="68">
                  <c:v>1.5999999999999996</c:v>
                </c:pt>
                <c:pt idx="69">
                  <c:v>1.6999999999999997</c:v>
                </c:pt>
                <c:pt idx="70">
                  <c:v>1.7999999999999998</c:v>
                </c:pt>
                <c:pt idx="71">
                  <c:v>1.9</c:v>
                </c:pt>
                <c:pt idx="72">
                  <c:v>2</c:v>
                </c:pt>
                <c:pt idx="73">
                  <c:v>2.1</c:v>
                </c:pt>
                <c:pt idx="74">
                  <c:v>2.2000000000000002</c:v>
                </c:pt>
                <c:pt idx="75">
                  <c:v>2.3000000000000003</c:v>
                </c:pt>
                <c:pt idx="76">
                  <c:v>2.4</c:v>
                </c:pt>
                <c:pt idx="77">
                  <c:v>2.4500000000000002</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numCache>
            </c:numRef>
          </c:val>
          <c:smooth val="0"/>
          <c:extLst>
            <c:ext xmlns:c16="http://schemas.microsoft.com/office/drawing/2014/chart" uri="{C3380CC4-5D6E-409C-BE32-E72D297353CC}">
              <c16:uniqueId val="{00000001-B598-48D6-91CA-733521F29F93}"/>
            </c:ext>
          </c:extLst>
        </c:ser>
        <c:dLbls>
          <c:showLegendKey val="0"/>
          <c:showVal val="0"/>
          <c:showCatName val="0"/>
          <c:showSerName val="0"/>
          <c:showPercent val="0"/>
          <c:showBubbleSize val="0"/>
        </c:dLbls>
        <c:smooth val="0"/>
        <c:axId val="808921968"/>
        <c:axId val="808918688"/>
      </c:lineChart>
      <c:catAx>
        <c:axId val="8089219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time [s]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8918688"/>
        <c:crosses val="autoZero"/>
        <c:auto val="1"/>
        <c:lblAlgn val="ctr"/>
        <c:lblOffset val="100"/>
        <c:noMultiLvlLbl val="0"/>
      </c:catAx>
      <c:valAx>
        <c:axId val="808918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Flow [ml/s]</a:t>
                </a:r>
                <a:r>
                  <a:rPr lang="en-US" baseline="0"/>
                  <a:t>   or  Pressure [bar]</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892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12</xdr:col>
      <xdr:colOff>1</xdr:colOff>
      <xdr:row>2</xdr:row>
      <xdr:rowOff>0</xdr:rowOff>
    </xdr:from>
    <xdr:to>
      <xdr:col>35</xdr:col>
      <xdr:colOff>495301</xdr:colOff>
      <xdr:row>112</xdr:row>
      <xdr:rowOff>29935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792701" y="381000"/>
          <a:ext cx="14516100" cy="2102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323850</xdr:colOff>
          <xdr:row>0</xdr:row>
          <xdr:rowOff>38100</xdr:rowOff>
        </xdr:from>
        <xdr:to>
          <xdr:col>7</xdr:col>
          <xdr:colOff>1885950</xdr:colOff>
          <xdr:row>1</xdr:row>
          <xdr:rowOff>180975</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60</xdr:row>
          <xdr:rowOff>171450</xdr:rowOff>
        </xdr:from>
        <xdr:to>
          <xdr:col>3</xdr:col>
          <xdr:colOff>142875</xdr:colOff>
          <xdr:row>103</xdr:row>
          <xdr:rowOff>142875</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F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61</xdr:row>
          <xdr:rowOff>28575</xdr:rowOff>
        </xdr:from>
        <xdr:to>
          <xdr:col>10</xdr:col>
          <xdr:colOff>123825</xdr:colOff>
          <xdr:row>113</xdr:row>
          <xdr:rowOff>85725</xdr:rowOff>
        </xdr:to>
        <xdr:sp macro="" textlink="">
          <xdr:nvSpPr>
            <xdr:cNvPr id="14337" name="Object 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18</xdr:col>
      <xdr:colOff>214513</xdr:colOff>
      <xdr:row>62</xdr:row>
      <xdr:rowOff>4320</xdr:rowOff>
    </xdr:from>
    <xdr:to>
      <xdr:col>36</xdr:col>
      <xdr:colOff>238123</xdr:colOff>
      <xdr:row>85</xdr:row>
      <xdr:rowOff>88445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46</xdr:col>
      <xdr:colOff>35718</xdr:colOff>
      <xdr:row>62</xdr:row>
      <xdr:rowOff>35718</xdr:rowOff>
    </xdr:from>
    <xdr:to>
      <xdr:col>94</xdr:col>
      <xdr:colOff>72935</xdr:colOff>
      <xdr:row>85</xdr:row>
      <xdr:rowOff>119843</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104</xdr:col>
      <xdr:colOff>35718</xdr:colOff>
      <xdr:row>62</xdr:row>
      <xdr:rowOff>35718</xdr:rowOff>
    </xdr:from>
    <xdr:to>
      <xdr:col>116</xdr:col>
      <xdr:colOff>357187</xdr:colOff>
      <xdr:row>85</xdr:row>
      <xdr:rowOff>119843</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60</xdr:row>
          <xdr:rowOff>180975</xdr:rowOff>
        </xdr:from>
        <xdr:to>
          <xdr:col>7</xdr:col>
          <xdr:colOff>190500</xdr:colOff>
          <xdr:row>98</xdr:row>
          <xdr:rowOff>180975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1100-000001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60</xdr:row>
          <xdr:rowOff>180975</xdr:rowOff>
        </xdr:from>
        <xdr:to>
          <xdr:col>7</xdr:col>
          <xdr:colOff>190500</xdr:colOff>
          <xdr:row>98</xdr:row>
          <xdr:rowOff>180975</xdr:rowOff>
        </xdr:to>
        <xdr:sp macro="" textlink="">
          <xdr:nvSpPr>
            <xdr:cNvPr id="22529" name="Object 1" hidden="1">
              <a:extLst>
                <a:ext uri="{63B3BB69-23CF-44E3-9099-C40C66FF867C}">
                  <a14:compatExt spid="_x0000_s22529"/>
                </a:ext>
                <a:ext uri="{FF2B5EF4-FFF2-40B4-BE49-F238E27FC236}">
                  <a16:creationId xmlns:a16="http://schemas.microsoft.com/office/drawing/2014/main" id="{00000000-0008-0000-1200-0000015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0.bin"/><Relationship Id="rId5" Type="http://schemas.openxmlformats.org/officeDocument/2006/relationships/image" Target="../media/image3.emf"/><Relationship Id="rId4" Type="http://schemas.openxmlformats.org/officeDocument/2006/relationships/package" Target="../embeddings/Microsoft_Visio_Drawing.vsdx"/></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package" Target="../embeddings/Microsoft_Visio_Drawing1.vsdx"/></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package" Target="../embeddings/Microsoft_Visio_Drawing2.vsdx"/></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package" Target="../embeddings/Microsoft_Visio_Drawing3.vsdx"/></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7E043-18D0-450C-B94C-7D0E0257770D}">
  <sheetPr codeName="Sheet1"/>
  <dimension ref="A1:D30"/>
  <sheetViews>
    <sheetView showGridLines="0" workbookViewId="0">
      <selection activeCell="J15" sqref="J15"/>
    </sheetView>
  </sheetViews>
  <sheetFormatPr defaultRowHeight="15"/>
  <cols>
    <col min="1" max="1" width="9.140625" style="3"/>
    <col min="2" max="2" width="13.5703125" style="54" customWidth="1"/>
    <col min="3" max="3" width="9.140625" style="3"/>
    <col min="4" max="4" width="62" style="99" customWidth="1"/>
  </cols>
  <sheetData>
    <row r="1" spans="1:4">
      <c r="A1" s="55" t="s">
        <v>157</v>
      </c>
      <c r="B1" s="50" t="s">
        <v>156</v>
      </c>
      <c r="C1" s="55" t="s">
        <v>158</v>
      </c>
      <c r="D1" s="96" t="s">
        <v>159</v>
      </c>
    </row>
    <row r="2" spans="1:4">
      <c r="A2" s="56" t="s">
        <v>153</v>
      </c>
      <c r="B2" s="51">
        <v>44651</v>
      </c>
      <c r="C2" s="56" t="s">
        <v>160</v>
      </c>
      <c r="D2" s="97" t="s">
        <v>154</v>
      </c>
    </row>
    <row r="3" spans="1:4" ht="30">
      <c r="A3" s="9" t="s">
        <v>155</v>
      </c>
      <c r="B3" s="52">
        <v>44655</v>
      </c>
      <c r="C3" s="9" t="s">
        <v>160</v>
      </c>
      <c r="D3" s="57" t="s">
        <v>165</v>
      </c>
    </row>
    <row r="4" spans="1:4">
      <c r="A4" s="9" t="s">
        <v>190</v>
      </c>
      <c r="B4" s="52">
        <v>44672</v>
      </c>
      <c r="C4" s="9" t="s">
        <v>160</v>
      </c>
      <c r="D4" s="57" t="s">
        <v>191</v>
      </c>
    </row>
    <row r="5" spans="1:4">
      <c r="A5" s="9" t="s">
        <v>192</v>
      </c>
      <c r="B5" s="52">
        <v>44677</v>
      </c>
      <c r="C5" s="9" t="s">
        <v>160</v>
      </c>
      <c r="D5" s="57" t="s">
        <v>193</v>
      </c>
    </row>
    <row r="6" spans="1:4">
      <c r="A6" s="9" t="s">
        <v>221</v>
      </c>
      <c r="B6" s="52">
        <v>44721</v>
      </c>
      <c r="C6" s="9" t="s">
        <v>160</v>
      </c>
      <c r="D6" s="57" t="s">
        <v>222</v>
      </c>
    </row>
    <row r="7" spans="1:4">
      <c r="A7" s="9" t="s">
        <v>226</v>
      </c>
      <c r="B7" s="52">
        <v>44741</v>
      </c>
      <c r="C7" s="9" t="s">
        <v>160</v>
      </c>
      <c r="D7" s="57" t="s">
        <v>298</v>
      </c>
    </row>
    <row r="8" spans="1:4">
      <c r="A8" s="9" t="s">
        <v>323</v>
      </c>
      <c r="B8" s="52">
        <v>44742</v>
      </c>
      <c r="C8" s="9" t="s">
        <v>160</v>
      </c>
      <c r="D8" s="57" t="s">
        <v>324</v>
      </c>
    </row>
    <row r="9" spans="1:4">
      <c r="A9" s="9" t="s">
        <v>362</v>
      </c>
      <c r="B9" s="52">
        <v>44750</v>
      </c>
      <c r="C9" s="9" t="s">
        <v>160</v>
      </c>
      <c r="D9" s="57" t="s">
        <v>363</v>
      </c>
    </row>
    <row r="10" spans="1:4">
      <c r="A10" s="9" t="s">
        <v>364</v>
      </c>
      <c r="B10" s="52">
        <v>44753</v>
      </c>
      <c r="C10" s="9" t="s">
        <v>160</v>
      </c>
      <c r="D10" s="57" t="s">
        <v>374</v>
      </c>
    </row>
    <row r="11" spans="1:4">
      <c r="A11" s="9" t="s">
        <v>398</v>
      </c>
      <c r="B11" s="52">
        <v>44761</v>
      </c>
      <c r="C11" s="9" t="s">
        <v>160</v>
      </c>
      <c r="D11" s="57" t="s">
        <v>378</v>
      </c>
    </row>
    <row r="12" spans="1:4">
      <c r="A12" s="9" t="s">
        <v>399</v>
      </c>
      <c r="B12" s="52">
        <v>44765</v>
      </c>
      <c r="C12" s="9" t="s">
        <v>160</v>
      </c>
      <c r="D12" s="57" t="s">
        <v>400</v>
      </c>
    </row>
    <row r="13" spans="1:4">
      <c r="A13" s="9" t="s">
        <v>402</v>
      </c>
      <c r="B13" s="52">
        <v>44798</v>
      </c>
      <c r="C13" s="9" t="s">
        <v>160</v>
      </c>
      <c r="D13" s="57" t="s">
        <v>404</v>
      </c>
    </row>
    <row r="14" spans="1:4">
      <c r="A14" s="9" t="s">
        <v>406</v>
      </c>
      <c r="B14" s="52">
        <v>44811</v>
      </c>
      <c r="C14" s="9" t="s">
        <v>160</v>
      </c>
      <c r="D14" s="57" t="s">
        <v>407</v>
      </c>
    </row>
    <row r="15" spans="1:4" ht="30">
      <c r="A15" s="9" t="s">
        <v>408</v>
      </c>
      <c r="B15" s="52">
        <v>44814</v>
      </c>
      <c r="C15" s="9" t="s">
        <v>160</v>
      </c>
      <c r="D15" s="57" t="s">
        <v>419</v>
      </c>
    </row>
    <row r="16" spans="1:4">
      <c r="A16" s="9" t="s">
        <v>434</v>
      </c>
      <c r="B16" s="52">
        <v>44848</v>
      </c>
      <c r="C16" s="9" t="s">
        <v>160</v>
      </c>
      <c r="D16" s="57" t="s">
        <v>435</v>
      </c>
    </row>
    <row r="17" spans="1:4">
      <c r="A17" s="9" t="s">
        <v>445</v>
      </c>
      <c r="B17" s="52">
        <v>44892</v>
      </c>
      <c r="C17" s="9" t="s">
        <v>160</v>
      </c>
      <c r="D17" s="57" t="s">
        <v>446</v>
      </c>
    </row>
    <row r="18" spans="1:4" ht="30">
      <c r="A18" s="9" t="s">
        <v>447</v>
      </c>
      <c r="B18" s="52">
        <v>44896</v>
      </c>
      <c r="C18" s="9" t="s">
        <v>160</v>
      </c>
      <c r="D18" s="57" t="s">
        <v>456</v>
      </c>
    </row>
    <row r="19" spans="1:4">
      <c r="A19" s="9"/>
      <c r="B19" s="52"/>
      <c r="C19" s="9"/>
      <c r="D19" s="57"/>
    </row>
    <row r="20" spans="1:4">
      <c r="A20" s="9"/>
      <c r="B20" s="52"/>
      <c r="C20" s="9"/>
      <c r="D20" s="57"/>
    </row>
    <row r="21" spans="1:4">
      <c r="A21" s="9"/>
      <c r="B21" s="52"/>
      <c r="C21" s="9"/>
      <c r="D21" s="57"/>
    </row>
    <row r="22" spans="1:4">
      <c r="A22" s="9"/>
      <c r="B22" s="52"/>
      <c r="C22" s="9"/>
      <c r="D22" s="57"/>
    </row>
    <row r="23" spans="1:4">
      <c r="A23" s="9"/>
      <c r="B23" s="52"/>
      <c r="C23" s="9"/>
      <c r="D23" s="57"/>
    </row>
    <row r="24" spans="1:4">
      <c r="A24" s="9"/>
      <c r="B24" s="52"/>
      <c r="C24" s="9"/>
      <c r="D24" s="57"/>
    </row>
    <row r="25" spans="1:4">
      <c r="A25" s="9"/>
      <c r="B25" s="52"/>
      <c r="C25" s="9"/>
      <c r="D25" s="57"/>
    </row>
    <row r="26" spans="1:4">
      <c r="A26" s="9"/>
      <c r="B26" s="52"/>
      <c r="C26" s="9"/>
      <c r="D26" s="57"/>
    </row>
    <row r="27" spans="1:4">
      <c r="A27" s="46"/>
      <c r="B27" s="53"/>
      <c r="C27" s="46"/>
      <c r="D27" s="98"/>
    </row>
    <row r="30" spans="1:4">
      <c r="A30" s="3" t="s">
        <v>161</v>
      </c>
      <c r="B30" s="54" t="s">
        <v>162</v>
      </c>
    </row>
  </sheetData>
  <sheetProtection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CCD0D-8E19-41E8-9F21-9868A2B2ABB2}">
  <sheetPr codeName="Sheet2"/>
  <dimension ref="A1:K115"/>
  <sheetViews>
    <sheetView showGridLines="0" zoomScale="85" zoomScaleNormal="85" workbookViewId="0">
      <selection sqref="A1:J1048576"/>
    </sheetView>
  </sheetViews>
  <sheetFormatPr defaultColWidth="9" defaultRowHeight="15"/>
  <cols>
    <col min="1" max="1" width="9" style="4"/>
    <col min="2" max="2" width="19.28515625" style="4" customWidth="1"/>
    <col min="3" max="3" width="7.7109375" style="4" bestFit="1" customWidth="1"/>
    <col min="4" max="4" width="5.7109375" style="4" bestFit="1" customWidth="1"/>
    <col min="5" max="6" width="9" style="4"/>
    <col min="7" max="7" width="9" style="1"/>
    <col min="8" max="8" width="28.85546875" style="1" bestFit="1" customWidth="1"/>
    <col min="9" max="9" width="7.7109375" style="4" bestFit="1" customWidth="1"/>
    <col min="10" max="10" width="55.28515625" style="1" bestFit="1" customWidth="1"/>
    <col min="11" max="11" width="95.42578125" style="1" bestFit="1" customWidth="1"/>
    <col min="12" max="16384" width="9" style="1"/>
  </cols>
  <sheetData>
    <row r="1" spans="1:10">
      <c r="A1" s="2" t="s">
        <v>55</v>
      </c>
    </row>
    <row r="2" spans="1:10">
      <c r="A2" s="2" t="s">
        <v>297</v>
      </c>
    </row>
    <row r="3" spans="1:10" ht="18.75">
      <c r="A3" s="18"/>
      <c r="B3" s="18" t="s">
        <v>0</v>
      </c>
      <c r="C3" s="18" t="s">
        <v>188</v>
      </c>
      <c r="D3" s="18" t="s">
        <v>295</v>
      </c>
      <c r="E3" s="18" t="s">
        <v>2</v>
      </c>
      <c r="F3" s="18" t="s">
        <v>3</v>
      </c>
      <c r="G3" s="19" t="s">
        <v>6</v>
      </c>
      <c r="H3" s="19" t="s">
        <v>1</v>
      </c>
      <c r="I3" s="18" t="s">
        <v>282</v>
      </c>
      <c r="J3" s="19" t="s">
        <v>4</v>
      </c>
    </row>
    <row r="4" spans="1:10">
      <c r="A4" s="21"/>
      <c r="B4" s="21"/>
      <c r="C4" s="21">
        <f>SUM(C5:C119)</f>
        <v>27</v>
      </c>
      <c r="D4" s="21">
        <f>SUM(D5:D119)</f>
        <v>54</v>
      </c>
      <c r="E4" s="21"/>
      <c r="F4" s="21"/>
      <c r="G4" s="22"/>
      <c r="H4" s="22" t="s">
        <v>70</v>
      </c>
      <c r="I4" s="21"/>
      <c r="J4" s="22"/>
    </row>
    <row r="5" spans="1:10">
      <c r="A5" s="79">
        <v>0</v>
      </c>
      <c r="B5" s="82" t="s">
        <v>81</v>
      </c>
      <c r="C5" s="79">
        <f>D5/2</f>
        <v>1</v>
      </c>
      <c r="D5" s="79">
        <v>2</v>
      </c>
      <c r="E5" s="79">
        <v>0</v>
      </c>
      <c r="F5" s="79">
        <f t="shared" ref="F5:F23" si="0">16^D5-1</f>
        <v>255</v>
      </c>
      <c r="G5" s="84" t="s">
        <v>8</v>
      </c>
      <c r="H5" s="84" t="s">
        <v>5</v>
      </c>
      <c r="I5" s="6">
        <v>0</v>
      </c>
      <c r="J5" s="8" t="s">
        <v>309</v>
      </c>
    </row>
    <row r="6" spans="1:10">
      <c r="A6" s="64"/>
      <c r="B6" s="65"/>
      <c r="C6" s="64"/>
      <c r="D6" s="64"/>
      <c r="E6" s="64"/>
      <c r="F6" s="64"/>
      <c r="G6" s="66"/>
      <c r="H6" s="66"/>
      <c r="I6" s="64" t="s">
        <v>308</v>
      </c>
      <c r="J6" s="12" t="s">
        <v>310</v>
      </c>
    </row>
    <row r="7" spans="1:10">
      <c r="A7" s="63">
        <v>1</v>
      </c>
      <c r="B7" s="67" t="s">
        <v>82</v>
      </c>
      <c r="C7" s="63">
        <f t="shared" ref="C7:C22" si="1">D7/2</f>
        <v>1</v>
      </c>
      <c r="D7" s="63">
        <v>2</v>
      </c>
      <c r="E7" s="63">
        <v>0</v>
      </c>
      <c r="F7" s="63">
        <f t="shared" si="0"/>
        <v>255</v>
      </c>
      <c r="G7" s="69" t="s">
        <v>8</v>
      </c>
      <c r="H7" s="69" t="s">
        <v>30</v>
      </c>
      <c r="I7" s="13">
        <v>0</v>
      </c>
      <c r="J7" s="12" t="s">
        <v>309</v>
      </c>
    </row>
    <row r="8" spans="1:10">
      <c r="A8" s="64"/>
      <c r="B8" s="65"/>
      <c r="C8" s="64"/>
      <c r="D8" s="64"/>
      <c r="E8" s="64"/>
      <c r="F8" s="64"/>
      <c r="G8" s="66"/>
      <c r="H8" s="66"/>
      <c r="I8" s="64" t="s">
        <v>308</v>
      </c>
      <c r="J8" s="66" t="s">
        <v>310</v>
      </c>
    </row>
    <row r="9" spans="1:10">
      <c r="A9" s="63">
        <v>2</v>
      </c>
      <c r="B9" s="67" t="s">
        <v>83</v>
      </c>
      <c r="C9" s="63">
        <f t="shared" si="1"/>
        <v>1</v>
      </c>
      <c r="D9" s="63">
        <v>2</v>
      </c>
      <c r="E9" s="63">
        <v>0</v>
      </c>
      <c r="F9" s="63">
        <f t="shared" si="0"/>
        <v>255</v>
      </c>
      <c r="G9" s="69" t="s">
        <v>8</v>
      </c>
      <c r="H9" s="69" t="s">
        <v>31</v>
      </c>
      <c r="I9" s="13">
        <v>0</v>
      </c>
      <c r="J9" s="12" t="s">
        <v>309</v>
      </c>
    </row>
    <row r="10" spans="1:10">
      <c r="A10" s="64"/>
      <c r="B10" s="65"/>
      <c r="C10" s="64"/>
      <c r="D10" s="64"/>
      <c r="E10" s="64"/>
      <c r="F10" s="64"/>
      <c r="G10" s="66"/>
      <c r="H10" s="66"/>
      <c r="I10" s="64" t="s">
        <v>308</v>
      </c>
      <c r="J10" s="66" t="s">
        <v>310</v>
      </c>
    </row>
    <row r="11" spans="1:10">
      <c r="A11" s="63">
        <v>3</v>
      </c>
      <c r="B11" s="67" t="s">
        <v>84</v>
      </c>
      <c r="C11" s="63">
        <f t="shared" si="1"/>
        <v>1</v>
      </c>
      <c r="D11" s="63">
        <v>2</v>
      </c>
      <c r="E11" s="63">
        <v>0</v>
      </c>
      <c r="F11" s="63">
        <f t="shared" si="0"/>
        <v>255</v>
      </c>
      <c r="G11" s="69" t="s">
        <v>8</v>
      </c>
      <c r="H11" s="69" t="s">
        <v>29</v>
      </c>
      <c r="I11" s="13">
        <v>0</v>
      </c>
      <c r="J11" s="12" t="s">
        <v>309</v>
      </c>
    </row>
    <row r="12" spans="1:10">
      <c r="A12" s="64"/>
      <c r="B12" s="65"/>
      <c r="C12" s="64"/>
      <c r="D12" s="64"/>
      <c r="E12" s="64"/>
      <c r="F12" s="64"/>
      <c r="G12" s="66"/>
      <c r="H12" s="66"/>
      <c r="I12" s="64" t="s">
        <v>308</v>
      </c>
      <c r="J12" s="66" t="s">
        <v>310</v>
      </c>
    </row>
    <row r="13" spans="1:10">
      <c r="A13" s="63">
        <v>4</v>
      </c>
      <c r="B13" s="67" t="s">
        <v>85</v>
      </c>
      <c r="C13" s="63">
        <f t="shared" si="1"/>
        <v>1</v>
      </c>
      <c r="D13" s="63">
        <v>2</v>
      </c>
      <c r="E13" s="63">
        <v>0</v>
      </c>
      <c r="F13" s="63">
        <f t="shared" si="0"/>
        <v>255</v>
      </c>
      <c r="G13" s="69" t="s">
        <v>52</v>
      </c>
      <c r="H13" s="69" t="s">
        <v>32</v>
      </c>
      <c r="I13" s="13">
        <v>0</v>
      </c>
      <c r="J13" s="12" t="s">
        <v>309</v>
      </c>
    </row>
    <row r="14" spans="1:10">
      <c r="A14" s="64"/>
      <c r="B14" s="65"/>
      <c r="C14" s="64"/>
      <c r="D14" s="64"/>
      <c r="E14" s="64"/>
      <c r="F14" s="64"/>
      <c r="G14" s="66"/>
      <c r="H14" s="66"/>
      <c r="I14" s="64" t="s">
        <v>308</v>
      </c>
      <c r="J14" s="66" t="s">
        <v>310</v>
      </c>
    </row>
    <row r="15" spans="1:10">
      <c r="A15" s="63">
        <v>5</v>
      </c>
      <c r="B15" s="67" t="s">
        <v>86</v>
      </c>
      <c r="C15" s="63">
        <f>D15/2</f>
        <v>1</v>
      </c>
      <c r="D15" s="63">
        <v>2</v>
      </c>
      <c r="E15" s="63">
        <v>0</v>
      </c>
      <c r="F15" s="63">
        <f>16^D15-1</f>
        <v>255</v>
      </c>
      <c r="G15" s="69" t="s">
        <v>52</v>
      </c>
      <c r="H15" s="69" t="s">
        <v>33</v>
      </c>
      <c r="I15" s="13">
        <v>0</v>
      </c>
      <c r="J15" s="12" t="s">
        <v>309</v>
      </c>
    </row>
    <row r="16" spans="1:10">
      <c r="A16" s="64"/>
      <c r="B16" s="65"/>
      <c r="C16" s="64"/>
      <c r="D16" s="64"/>
      <c r="E16" s="64"/>
      <c r="F16" s="64"/>
      <c r="G16" s="66"/>
      <c r="H16" s="66"/>
      <c r="I16" s="64" t="s">
        <v>308</v>
      </c>
      <c r="J16" s="66" t="s">
        <v>310</v>
      </c>
    </row>
    <row r="17" spans="1:11">
      <c r="A17" s="63">
        <v>6</v>
      </c>
      <c r="B17" s="67" t="s">
        <v>87</v>
      </c>
      <c r="C17" s="63">
        <f t="shared" si="1"/>
        <v>1</v>
      </c>
      <c r="D17" s="63">
        <v>2</v>
      </c>
      <c r="E17" s="63">
        <v>0</v>
      </c>
      <c r="F17" s="63">
        <f t="shared" si="0"/>
        <v>255</v>
      </c>
      <c r="G17" s="69" t="s">
        <v>7</v>
      </c>
      <c r="H17" s="69" t="s">
        <v>34</v>
      </c>
      <c r="I17" s="13">
        <v>0</v>
      </c>
      <c r="J17" s="12" t="s">
        <v>309</v>
      </c>
    </row>
    <row r="18" spans="1:11">
      <c r="A18" s="64"/>
      <c r="B18" s="65"/>
      <c r="C18" s="64"/>
      <c r="D18" s="64"/>
      <c r="E18" s="64"/>
      <c r="F18" s="64"/>
      <c r="G18" s="66"/>
      <c r="H18" s="66"/>
      <c r="I18" s="64" t="s">
        <v>308</v>
      </c>
      <c r="J18" s="66" t="s">
        <v>310</v>
      </c>
    </row>
    <row r="19" spans="1:11">
      <c r="A19" s="13">
        <v>7</v>
      </c>
      <c r="B19" s="47" t="s">
        <v>88</v>
      </c>
      <c r="C19" s="13">
        <f t="shared" si="1"/>
        <v>1</v>
      </c>
      <c r="D19" s="13">
        <v>2</v>
      </c>
      <c r="E19" s="13">
        <v>0</v>
      </c>
      <c r="F19" s="13">
        <f t="shared" si="0"/>
        <v>255</v>
      </c>
      <c r="G19" s="12" t="s">
        <v>51</v>
      </c>
      <c r="H19" s="12" t="s">
        <v>110</v>
      </c>
      <c r="I19" s="13"/>
      <c r="J19" s="12"/>
    </row>
    <row r="20" spans="1:11">
      <c r="A20" s="13">
        <v>8</v>
      </c>
      <c r="B20" s="47" t="s">
        <v>89</v>
      </c>
      <c r="C20" s="13">
        <f t="shared" si="1"/>
        <v>1</v>
      </c>
      <c r="D20" s="13">
        <v>2</v>
      </c>
      <c r="E20" s="13">
        <v>0</v>
      </c>
      <c r="F20" s="13">
        <f t="shared" si="0"/>
        <v>255</v>
      </c>
      <c r="G20" s="12" t="s">
        <v>51</v>
      </c>
      <c r="H20" s="12" t="s">
        <v>111</v>
      </c>
      <c r="I20" s="13"/>
      <c r="J20" s="12"/>
    </row>
    <row r="21" spans="1:11">
      <c r="A21" s="13">
        <v>9</v>
      </c>
      <c r="B21" s="47" t="s">
        <v>90</v>
      </c>
      <c r="C21" s="13">
        <f t="shared" si="1"/>
        <v>2</v>
      </c>
      <c r="D21" s="13">
        <v>4</v>
      </c>
      <c r="E21" s="13">
        <v>0</v>
      </c>
      <c r="F21" s="13">
        <f t="shared" si="0"/>
        <v>65535</v>
      </c>
      <c r="G21" s="12" t="s">
        <v>27</v>
      </c>
      <c r="H21" s="12" t="s">
        <v>35</v>
      </c>
      <c r="I21" s="13"/>
      <c r="J21" s="12" t="s">
        <v>28</v>
      </c>
    </row>
    <row r="22" spans="1:11">
      <c r="A22" s="13">
        <v>10</v>
      </c>
      <c r="B22" s="47" t="s">
        <v>91</v>
      </c>
      <c r="C22" s="13">
        <f t="shared" si="1"/>
        <v>2</v>
      </c>
      <c r="D22" s="13">
        <v>4</v>
      </c>
      <c r="E22" s="13">
        <v>0</v>
      </c>
      <c r="F22" s="13">
        <f t="shared" si="0"/>
        <v>65535</v>
      </c>
      <c r="G22" s="12" t="s">
        <v>27</v>
      </c>
      <c r="H22" s="12" t="s">
        <v>36</v>
      </c>
      <c r="I22" s="13"/>
      <c r="J22" s="12" t="s">
        <v>28</v>
      </c>
    </row>
    <row r="23" spans="1:11">
      <c r="A23" s="103">
        <v>11</v>
      </c>
      <c r="B23" s="112" t="s">
        <v>93</v>
      </c>
      <c r="C23" s="107">
        <f>D23/2</f>
        <v>1</v>
      </c>
      <c r="D23" s="107">
        <v>2</v>
      </c>
      <c r="E23" s="103">
        <v>0</v>
      </c>
      <c r="F23" s="103">
        <f t="shared" si="0"/>
        <v>255</v>
      </c>
      <c r="G23" s="68" t="s">
        <v>9</v>
      </c>
      <c r="H23" s="69" t="s">
        <v>365</v>
      </c>
      <c r="I23" s="13">
        <v>0</v>
      </c>
      <c r="J23" s="12" t="s">
        <v>375</v>
      </c>
      <c r="K23" s="1" t="s">
        <v>373</v>
      </c>
    </row>
    <row r="24" spans="1:11">
      <c r="A24" s="103"/>
      <c r="B24" s="112"/>
      <c r="C24" s="107"/>
      <c r="D24" s="107"/>
      <c r="E24" s="103"/>
      <c r="F24" s="103"/>
      <c r="G24" s="72"/>
      <c r="H24" s="73"/>
      <c r="I24" s="13">
        <v>1</v>
      </c>
      <c r="J24" s="12" t="s">
        <v>367</v>
      </c>
    </row>
    <row r="25" spans="1:11">
      <c r="A25" s="104"/>
      <c r="B25" s="113"/>
      <c r="C25" s="104"/>
      <c r="D25" s="104"/>
      <c r="E25" s="104"/>
      <c r="F25" s="104"/>
      <c r="G25" s="72"/>
      <c r="H25" s="73"/>
      <c r="I25" s="13">
        <v>2</v>
      </c>
      <c r="J25" s="12" t="s">
        <v>366</v>
      </c>
    </row>
    <row r="26" spans="1:11">
      <c r="A26" s="104"/>
      <c r="B26" s="113"/>
      <c r="C26" s="104"/>
      <c r="D26" s="104"/>
      <c r="E26" s="104"/>
      <c r="F26" s="104"/>
      <c r="G26" s="72"/>
      <c r="H26" s="73"/>
      <c r="I26" s="13">
        <v>3</v>
      </c>
      <c r="J26" s="12" t="s">
        <v>369</v>
      </c>
    </row>
    <row r="27" spans="1:11">
      <c r="A27" s="104"/>
      <c r="B27" s="113"/>
      <c r="C27" s="104"/>
      <c r="D27" s="104"/>
      <c r="E27" s="104"/>
      <c r="F27" s="104"/>
      <c r="G27" s="72"/>
      <c r="H27" s="73"/>
      <c r="I27" s="13">
        <v>4</v>
      </c>
      <c r="J27" s="12" t="s">
        <v>376</v>
      </c>
    </row>
    <row r="28" spans="1:11">
      <c r="A28" s="104"/>
      <c r="B28" s="113"/>
      <c r="C28" s="104"/>
      <c r="D28" s="104"/>
      <c r="E28" s="104"/>
      <c r="F28" s="104"/>
      <c r="G28" s="72"/>
      <c r="H28" s="73"/>
      <c r="I28" s="13">
        <v>5</v>
      </c>
      <c r="J28" s="12" t="s">
        <v>368</v>
      </c>
    </row>
    <row r="29" spans="1:11">
      <c r="A29" s="104"/>
      <c r="B29" s="113"/>
      <c r="C29" s="104"/>
      <c r="D29" s="104"/>
      <c r="E29" s="104"/>
      <c r="F29" s="104"/>
      <c r="G29" s="72"/>
      <c r="H29" s="73"/>
      <c r="I29" s="13">
        <v>6</v>
      </c>
      <c r="J29" s="12" t="s">
        <v>370</v>
      </c>
    </row>
    <row r="30" spans="1:11">
      <c r="A30" s="104"/>
      <c r="B30" s="113"/>
      <c r="C30" s="104"/>
      <c r="D30" s="104"/>
      <c r="E30" s="104"/>
      <c r="F30" s="104"/>
      <c r="G30" s="72"/>
      <c r="H30" s="73"/>
      <c r="I30" s="13">
        <v>7</v>
      </c>
      <c r="J30" s="12" t="s">
        <v>377</v>
      </c>
    </row>
    <row r="31" spans="1:11">
      <c r="A31" s="104"/>
      <c r="B31" s="113"/>
      <c r="C31" s="104"/>
      <c r="D31" s="104"/>
      <c r="E31" s="104"/>
      <c r="F31" s="104"/>
      <c r="G31" s="72"/>
      <c r="H31" s="73"/>
      <c r="I31" s="13">
        <v>8</v>
      </c>
      <c r="J31" s="12" t="s">
        <v>372</v>
      </c>
    </row>
    <row r="32" spans="1:11">
      <c r="A32" s="104"/>
      <c r="B32" s="113"/>
      <c r="C32" s="104"/>
      <c r="D32" s="104"/>
      <c r="E32" s="104"/>
      <c r="F32" s="104"/>
      <c r="G32" s="72"/>
      <c r="H32" s="73"/>
      <c r="I32" s="13">
        <v>9</v>
      </c>
      <c r="J32" s="12" t="s">
        <v>371</v>
      </c>
    </row>
    <row r="33" spans="1:11">
      <c r="A33" s="63">
        <v>12</v>
      </c>
      <c r="B33" s="67" t="s">
        <v>311</v>
      </c>
      <c r="C33" s="63">
        <f t="shared" ref="C33" si="2">D33/2</f>
        <v>1</v>
      </c>
      <c r="D33" s="63">
        <v>2</v>
      </c>
      <c r="E33" s="63">
        <v>0</v>
      </c>
      <c r="F33" s="63">
        <f>16^D33-1</f>
        <v>255</v>
      </c>
      <c r="G33" s="69" t="s">
        <v>9</v>
      </c>
      <c r="H33" s="69" t="s">
        <v>312</v>
      </c>
      <c r="I33" s="13">
        <v>0</v>
      </c>
      <c r="J33" s="12" t="s">
        <v>313</v>
      </c>
    </row>
    <row r="34" spans="1:11">
      <c r="A34" s="70"/>
      <c r="B34" s="71"/>
      <c r="C34" s="70"/>
      <c r="D34" s="70"/>
      <c r="E34" s="70"/>
      <c r="F34" s="70"/>
      <c r="G34" s="73"/>
      <c r="H34" s="73"/>
      <c r="I34" s="13">
        <v>1</v>
      </c>
      <c r="J34" s="12" t="s">
        <v>314</v>
      </c>
    </row>
    <row r="35" spans="1:11">
      <c r="A35" s="70"/>
      <c r="B35" s="71"/>
      <c r="C35" s="70"/>
      <c r="D35" s="70"/>
      <c r="E35" s="70"/>
      <c r="F35" s="70"/>
      <c r="G35" s="73"/>
      <c r="H35" s="73"/>
      <c r="I35" s="13">
        <v>2</v>
      </c>
      <c r="J35" s="12" t="s">
        <v>315</v>
      </c>
    </row>
    <row r="36" spans="1:11">
      <c r="A36" s="70"/>
      <c r="B36" s="71"/>
      <c r="C36" s="70"/>
      <c r="D36" s="70"/>
      <c r="E36" s="70"/>
      <c r="F36" s="70"/>
      <c r="G36" s="73"/>
      <c r="H36" s="73"/>
      <c r="I36" s="13">
        <v>3</v>
      </c>
      <c r="J36" s="12" t="s">
        <v>316</v>
      </c>
    </row>
    <row r="37" spans="1:11">
      <c r="A37" s="70"/>
      <c r="B37" s="71"/>
      <c r="C37" s="70"/>
      <c r="D37" s="70"/>
      <c r="E37" s="70"/>
      <c r="F37" s="70"/>
      <c r="G37" s="73"/>
      <c r="H37" s="73"/>
      <c r="I37" s="13">
        <v>4</v>
      </c>
      <c r="J37" s="12" t="s">
        <v>317</v>
      </c>
    </row>
    <row r="38" spans="1:11">
      <c r="A38" s="64"/>
      <c r="B38" s="65"/>
      <c r="C38" s="64"/>
      <c r="D38" s="64"/>
      <c r="E38" s="64"/>
      <c r="F38" s="64"/>
      <c r="G38" s="66"/>
      <c r="H38" s="66"/>
      <c r="I38" s="13">
        <v>5</v>
      </c>
      <c r="J38" s="12" t="s">
        <v>318</v>
      </c>
    </row>
    <row r="39" spans="1:11">
      <c r="A39" s="13">
        <v>13</v>
      </c>
      <c r="B39" s="47" t="s">
        <v>94</v>
      </c>
      <c r="C39" s="13">
        <f t="shared" ref="C39:C44" si="3">D39/2</f>
        <v>2</v>
      </c>
      <c r="D39" s="13">
        <v>4</v>
      </c>
      <c r="E39" s="13">
        <v>0</v>
      </c>
      <c r="F39" s="13">
        <f>16^D39-1</f>
        <v>65535</v>
      </c>
      <c r="G39" s="12" t="s">
        <v>53</v>
      </c>
      <c r="H39" s="12" t="s">
        <v>68</v>
      </c>
      <c r="I39" s="13"/>
      <c r="J39" s="12"/>
    </row>
    <row r="40" spans="1:11">
      <c r="A40" s="63">
        <v>14</v>
      </c>
      <c r="B40" s="67" t="s">
        <v>106</v>
      </c>
      <c r="C40" s="63">
        <f t="shared" si="3"/>
        <v>1</v>
      </c>
      <c r="D40" s="63">
        <v>2</v>
      </c>
      <c r="E40" s="63">
        <v>0</v>
      </c>
      <c r="F40" s="63">
        <v>2</v>
      </c>
      <c r="G40" s="68" t="s">
        <v>95</v>
      </c>
      <c r="H40" s="69" t="s">
        <v>108</v>
      </c>
      <c r="I40" s="13">
        <v>0</v>
      </c>
      <c r="J40" s="12" t="s">
        <v>319</v>
      </c>
      <c r="K40" s="1" t="s">
        <v>104</v>
      </c>
    </row>
    <row r="41" spans="1:11">
      <c r="A41" s="70"/>
      <c r="B41" s="71"/>
      <c r="C41" s="70"/>
      <c r="D41" s="70"/>
      <c r="E41" s="70"/>
      <c r="F41" s="70"/>
      <c r="G41" s="72"/>
      <c r="H41" s="73"/>
      <c r="I41" s="13">
        <v>1</v>
      </c>
      <c r="J41" s="12" t="s">
        <v>320</v>
      </c>
    </row>
    <row r="42" spans="1:11">
      <c r="A42" s="70"/>
      <c r="B42" s="71"/>
      <c r="C42" s="70"/>
      <c r="D42" s="70"/>
      <c r="E42" s="70"/>
      <c r="F42" s="70"/>
      <c r="G42" s="72"/>
      <c r="H42" s="73"/>
      <c r="I42" s="13">
        <v>2</v>
      </c>
      <c r="J42" s="12" t="s">
        <v>321</v>
      </c>
    </row>
    <row r="43" spans="1:11">
      <c r="A43" s="64"/>
      <c r="B43" s="65"/>
      <c r="C43" s="64"/>
      <c r="D43" s="64"/>
      <c r="E43" s="64"/>
      <c r="F43" s="64"/>
      <c r="G43" s="81"/>
      <c r="H43" s="66"/>
      <c r="I43" s="13">
        <v>3</v>
      </c>
      <c r="J43" s="12" t="s">
        <v>322</v>
      </c>
    </row>
    <row r="44" spans="1:11">
      <c r="A44" s="63">
        <v>15</v>
      </c>
      <c r="B44" s="67" t="s">
        <v>105</v>
      </c>
      <c r="C44" s="63">
        <f t="shared" si="3"/>
        <v>1</v>
      </c>
      <c r="D44" s="63">
        <v>2</v>
      </c>
      <c r="E44" s="63">
        <v>0</v>
      </c>
      <c r="F44" s="63">
        <v>2</v>
      </c>
      <c r="G44" s="68" t="s">
        <v>95</v>
      </c>
      <c r="H44" s="69" t="s">
        <v>109</v>
      </c>
      <c r="I44" s="13">
        <v>0</v>
      </c>
      <c r="J44" s="12" t="s">
        <v>319</v>
      </c>
      <c r="K44" s="1" t="s">
        <v>107</v>
      </c>
    </row>
    <row r="45" spans="1:11">
      <c r="A45" s="70"/>
      <c r="B45" s="71"/>
      <c r="C45" s="70"/>
      <c r="D45" s="70"/>
      <c r="E45" s="70"/>
      <c r="F45" s="70"/>
      <c r="G45" s="72"/>
      <c r="H45" s="73"/>
      <c r="I45" s="13">
        <v>1</v>
      </c>
      <c r="J45" s="12" t="s">
        <v>320</v>
      </c>
    </row>
    <row r="46" spans="1:11">
      <c r="A46" s="70"/>
      <c r="B46" s="71"/>
      <c r="C46" s="70"/>
      <c r="D46" s="70"/>
      <c r="E46" s="70"/>
      <c r="F46" s="70"/>
      <c r="G46" s="72"/>
      <c r="H46" s="73"/>
      <c r="I46" s="13">
        <v>2</v>
      </c>
      <c r="J46" s="12" t="s">
        <v>321</v>
      </c>
    </row>
    <row r="47" spans="1:11">
      <c r="A47" s="64"/>
      <c r="B47" s="65"/>
      <c r="C47" s="64"/>
      <c r="D47" s="64"/>
      <c r="E47" s="64"/>
      <c r="F47" s="64"/>
      <c r="G47" s="81"/>
      <c r="H47" s="66"/>
      <c r="I47" s="13">
        <v>3</v>
      </c>
      <c r="J47" s="12" t="s">
        <v>322</v>
      </c>
    </row>
    <row r="48" spans="1:11">
      <c r="A48" s="103">
        <v>16</v>
      </c>
      <c r="B48" s="114" t="s">
        <v>92</v>
      </c>
      <c r="C48" s="107">
        <f>D48/2</f>
        <v>2</v>
      </c>
      <c r="D48" s="107">
        <v>4</v>
      </c>
      <c r="E48" s="103">
        <v>0</v>
      </c>
      <c r="F48" s="103">
        <f>16^D48-1</f>
        <v>65535</v>
      </c>
      <c r="G48" s="14" t="s">
        <v>9</v>
      </c>
      <c r="H48" s="12" t="s">
        <v>37</v>
      </c>
      <c r="I48" s="13">
        <v>32768</v>
      </c>
      <c r="J48" s="47"/>
    </row>
    <row r="49" spans="1:11">
      <c r="A49" s="104"/>
      <c r="B49" s="113"/>
      <c r="C49" s="107"/>
      <c r="D49" s="107"/>
      <c r="E49" s="103"/>
      <c r="F49" s="103"/>
      <c r="G49" s="14" t="s">
        <v>9</v>
      </c>
      <c r="H49" s="12" t="s">
        <v>38</v>
      </c>
      <c r="I49" s="13">
        <f>I48/2</f>
        <v>16384</v>
      </c>
      <c r="J49" s="47"/>
    </row>
    <row r="50" spans="1:11">
      <c r="A50" s="104"/>
      <c r="B50" s="113"/>
      <c r="C50" s="107"/>
      <c r="D50" s="107"/>
      <c r="E50" s="103"/>
      <c r="F50" s="103"/>
      <c r="G50" s="14" t="s">
        <v>9</v>
      </c>
      <c r="H50" s="12" t="s">
        <v>39</v>
      </c>
      <c r="I50" s="13">
        <f t="shared" ref="I50:I63" si="4">I49/2</f>
        <v>8192</v>
      </c>
      <c r="J50" s="47"/>
    </row>
    <row r="51" spans="1:11">
      <c r="A51" s="104"/>
      <c r="B51" s="113"/>
      <c r="C51" s="107"/>
      <c r="D51" s="107"/>
      <c r="E51" s="103"/>
      <c r="F51" s="103"/>
      <c r="G51" s="14" t="s">
        <v>9</v>
      </c>
      <c r="H51" s="12" t="s">
        <v>40</v>
      </c>
      <c r="I51" s="13">
        <f t="shared" si="4"/>
        <v>4096</v>
      </c>
      <c r="J51" s="47"/>
      <c r="K51" s="5" t="s">
        <v>225</v>
      </c>
    </row>
    <row r="52" spans="1:11">
      <c r="A52" s="104"/>
      <c r="B52" s="113"/>
      <c r="C52" s="107"/>
      <c r="D52" s="107"/>
      <c r="E52" s="103"/>
      <c r="F52" s="103"/>
      <c r="G52" s="14" t="s">
        <v>9</v>
      </c>
      <c r="H52" s="12" t="s">
        <v>124</v>
      </c>
      <c r="I52" s="13">
        <f t="shared" si="4"/>
        <v>2048</v>
      </c>
      <c r="J52" s="47"/>
    </row>
    <row r="53" spans="1:11">
      <c r="A53" s="104"/>
      <c r="B53" s="113"/>
      <c r="C53" s="107"/>
      <c r="D53" s="107"/>
      <c r="E53" s="103"/>
      <c r="F53" s="103"/>
      <c r="G53" s="14" t="s">
        <v>9</v>
      </c>
      <c r="H53" s="12" t="s">
        <v>125</v>
      </c>
      <c r="I53" s="13">
        <f t="shared" si="4"/>
        <v>1024</v>
      </c>
      <c r="J53" s="47"/>
    </row>
    <row r="54" spans="1:11">
      <c r="A54" s="104"/>
      <c r="B54" s="113"/>
      <c r="C54" s="107"/>
      <c r="D54" s="107"/>
      <c r="E54" s="103"/>
      <c r="F54" s="103"/>
      <c r="G54" s="14" t="s">
        <v>9</v>
      </c>
      <c r="H54" s="12" t="s">
        <v>123</v>
      </c>
      <c r="I54" s="13">
        <f t="shared" si="4"/>
        <v>512</v>
      </c>
      <c r="J54" s="47"/>
    </row>
    <row r="55" spans="1:11">
      <c r="A55" s="104"/>
      <c r="B55" s="113"/>
      <c r="C55" s="107"/>
      <c r="D55" s="107"/>
      <c r="E55" s="103"/>
      <c r="F55" s="103"/>
      <c r="G55" s="14" t="s">
        <v>9</v>
      </c>
      <c r="H55" s="12" t="s">
        <v>44</v>
      </c>
      <c r="I55" s="13">
        <f t="shared" si="4"/>
        <v>256</v>
      </c>
      <c r="J55" s="47"/>
    </row>
    <row r="56" spans="1:11">
      <c r="A56" s="104"/>
      <c r="B56" s="113"/>
      <c r="C56" s="107"/>
      <c r="D56" s="107"/>
      <c r="E56" s="103"/>
      <c r="F56" s="103"/>
      <c r="G56" s="14" t="s">
        <v>9</v>
      </c>
      <c r="H56" s="12" t="s">
        <v>45</v>
      </c>
      <c r="I56" s="13">
        <f t="shared" si="4"/>
        <v>128</v>
      </c>
      <c r="J56" s="47"/>
    </row>
    <row r="57" spans="1:11">
      <c r="A57" s="105"/>
      <c r="B57" s="115"/>
      <c r="C57" s="110"/>
      <c r="D57" s="110"/>
      <c r="E57" s="108"/>
      <c r="F57" s="108"/>
      <c r="G57" s="14" t="s">
        <v>9</v>
      </c>
      <c r="H57" s="12" t="s">
        <v>74</v>
      </c>
      <c r="I57" s="13">
        <f t="shared" si="4"/>
        <v>64</v>
      </c>
      <c r="J57" s="47"/>
    </row>
    <row r="58" spans="1:11">
      <c r="A58" s="105"/>
      <c r="B58" s="115"/>
      <c r="C58" s="110"/>
      <c r="D58" s="110"/>
      <c r="E58" s="108"/>
      <c r="F58" s="108"/>
      <c r="G58" s="14" t="s">
        <v>9</v>
      </c>
      <c r="H58" s="12" t="s">
        <v>46</v>
      </c>
      <c r="I58" s="13">
        <f t="shared" si="4"/>
        <v>32</v>
      </c>
      <c r="J58" s="47"/>
    </row>
    <row r="59" spans="1:11">
      <c r="A59" s="105"/>
      <c r="B59" s="115"/>
      <c r="C59" s="110"/>
      <c r="D59" s="110"/>
      <c r="E59" s="108"/>
      <c r="F59" s="108"/>
      <c r="G59" s="14" t="s">
        <v>9</v>
      </c>
      <c r="H59" s="12" t="s">
        <v>189</v>
      </c>
      <c r="I59" s="13">
        <f t="shared" si="4"/>
        <v>16</v>
      </c>
      <c r="J59" s="47"/>
    </row>
    <row r="60" spans="1:11">
      <c r="A60" s="105"/>
      <c r="B60" s="115"/>
      <c r="C60" s="110"/>
      <c r="D60" s="110"/>
      <c r="E60" s="108"/>
      <c r="F60" s="108"/>
      <c r="G60" s="14" t="s">
        <v>9</v>
      </c>
      <c r="H60" s="12"/>
      <c r="I60" s="13">
        <f t="shared" si="4"/>
        <v>8</v>
      </c>
      <c r="J60" s="47"/>
    </row>
    <row r="61" spans="1:11">
      <c r="A61" s="105"/>
      <c r="B61" s="115"/>
      <c r="C61" s="110"/>
      <c r="D61" s="110"/>
      <c r="E61" s="108"/>
      <c r="F61" s="108"/>
      <c r="G61" s="14" t="s">
        <v>9</v>
      </c>
      <c r="H61" s="12"/>
      <c r="I61" s="13">
        <f t="shared" si="4"/>
        <v>4</v>
      </c>
      <c r="J61" s="47"/>
    </row>
    <row r="62" spans="1:11">
      <c r="A62" s="105"/>
      <c r="B62" s="115"/>
      <c r="C62" s="110"/>
      <c r="D62" s="110"/>
      <c r="E62" s="108"/>
      <c r="F62" s="108"/>
      <c r="G62" s="14" t="s">
        <v>9</v>
      </c>
      <c r="H62" s="12"/>
      <c r="I62" s="13">
        <f t="shared" si="4"/>
        <v>2</v>
      </c>
      <c r="J62" s="47"/>
    </row>
    <row r="63" spans="1:11">
      <c r="A63" s="106"/>
      <c r="B63" s="116"/>
      <c r="C63" s="111"/>
      <c r="D63" s="111"/>
      <c r="E63" s="109"/>
      <c r="F63" s="109"/>
      <c r="G63" s="17" t="s">
        <v>9</v>
      </c>
      <c r="H63" s="15"/>
      <c r="I63" s="16">
        <f t="shared" si="4"/>
        <v>1</v>
      </c>
      <c r="J63" s="20"/>
    </row>
    <row r="64" spans="1:11">
      <c r="A64" s="103">
        <v>17</v>
      </c>
      <c r="B64" s="114" t="s">
        <v>76</v>
      </c>
      <c r="C64" s="107">
        <f t="shared" ref="C64" si="5">D64/2</f>
        <v>2</v>
      </c>
      <c r="D64" s="107">
        <v>4</v>
      </c>
      <c r="E64" s="103">
        <v>0</v>
      </c>
      <c r="F64" s="103">
        <f>16^D64-1</f>
        <v>65535</v>
      </c>
      <c r="G64" s="14" t="s">
        <v>9</v>
      </c>
      <c r="H64" s="12" t="s">
        <v>37</v>
      </c>
      <c r="I64" s="13">
        <v>32768</v>
      </c>
      <c r="J64" s="47"/>
    </row>
    <row r="65" spans="1:10">
      <c r="A65" s="104"/>
      <c r="B65" s="113"/>
      <c r="C65" s="107"/>
      <c r="D65" s="107"/>
      <c r="E65" s="103"/>
      <c r="F65" s="103"/>
      <c r="G65" s="14" t="s">
        <v>9</v>
      </c>
      <c r="H65" s="12" t="s">
        <v>38</v>
      </c>
      <c r="I65" s="13">
        <f>I64/2</f>
        <v>16384</v>
      </c>
      <c r="J65" s="47"/>
    </row>
    <row r="66" spans="1:10">
      <c r="A66" s="104"/>
      <c r="B66" s="113"/>
      <c r="C66" s="107"/>
      <c r="D66" s="107"/>
      <c r="E66" s="103"/>
      <c r="F66" s="103"/>
      <c r="G66" s="14" t="s">
        <v>9</v>
      </c>
      <c r="H66" s="12" t="s">
        <v>39</v>
      </c>
      <c r="I66" s="13">
        <f t="shared" ref="I66:I79" si="6">I65/2</f>
        <v>8192</v>
      </c>
      <c r="J66" s="47"/>
    </row>
    <row r="67" spans="1:10">
      <c r="A67" s="104"/>
      <c r="B67" s="113"/>
      <c r="C67" s="107"/>
      <c r="D67" s="107"/>
      <c r="E67" s="103"/>
      <c r="F67" s="103"/>
      <c r="G67" s="14" t="s">
        <v>9</v>
      </c>
      <c r="H67" s="12" t="s">
        <v>40</v>
      </c>
      <c r="I67" s="13">
        <f t="shared" si="6"/>
        <v>4096</v>
      </c>
      <c r="J67" s="47"/>
    </row>
    <row r="68" spans="1:10">
      <c r="A68" s="104"/>
      <c r="B68" s="113"/>
      <c r="C68" s="107"/>
      <c r="D68" s="107"/>
      <c r="E68" s="103"/>
      <c r="F68" s="103"/>
      <c r="G68" s="14" t="s">
        <v>9</v>
      </c>
      <c r="H68" s="12" t="s">
        <v>41</v>
      </c>
      <c r="I68" s="13">
        <f t="shared" si="6"/>
        <v>2048</v>
      </c>
      <c r="J68" s="47"/>
    </row>
    <row r="69" spans="1:10">
      <c r="A69" s="104"/>
      <c r="B69" s="113"/>
      <c r="C69" s="107"/>
      <c r="D69" s="107"/>
      <c r="E69" s="103"/>
      <c r="F69" s="103"/>
      <c r="G69" s="14" t="s">
        <v>9</v>
      </c>
      <c r="H69" s="12" t="s">
        <v>42</v>
      </c>
      <c r="I69" s="13">
        <f t="shared" si="6"/>
        <v>1024</v>
      </c>
      <c r="J69" s="47"/>
    </row>
    <row r="70" spans="1:10">
      <c r="A70" s="104"/>
      <c r="B70" s="113"/>
      <c r="C70" s="107"/>
      <c r="D70" s="107"/>
      <c r="E70" s="103"/>
      <c r="F70" s="103"/>
      <c r="G70" s="14" t="s">
        <v>9</v>
      </c>
      <c r="H70" s="12" t="s">
        <v>43</v>
      </c>
      <c r="I70" s="13">
        <f t="shared" si="6"/>
        <v>512</v>
      </c>
      <c r="J70" s="47"/>
    </row>
    <row r="71" spans="1:10">
      <c r="A71" s="104"/>
      <c r="B71" s="113"/>
      <c r="C71" s="107"/>
      <c r="D71" s="107"/>
      <c r="E71" s="103"/>
      <c r="F71" s="103"/>
      <c r="G71" s="14" t="s">
        <v>9</v>
      </c>
      <c r="H71" s="12" t="s">
        <v>44</v>
      </c>
      <c r="I71" s="13">
        <f t="shared" si="6"/>
        <v>256</v>
      </c>
      <c r="J71" s="47"/>
    </row>
    <row r="72" spans="1:10">
      <c r="A72" s="104"/>
      <c r="B72" s="113"/>
      <c r="C72" s="107"/>
      <c r="D72" s="107"/>
      <c r="E72" s="103"/>
      <c r="F72" s="103"/>
      <c r="G72" s="14" t="s">
        <v>9</v>
      </c>
      <c r="H72" s="12" t="s">
        <v>45</v>
      </c>
      <c r="I72" s="13">
        <f t="shared" si="6"/>
        <v>128</v>
      </c>
      <c r="J72" s="47"/>
    </row>
    <row r="73" spans="1:10">
      <c r="A73" s="105"/>
      <c r="B73" s="115"/>
      <c r="C73" s="110"/>
      <c r="D73" s="110"/>
      <c r="E73" s="108"/>
      <c r="F73" s="108"/>
      <c r="G73" s="14" t="s">
        <v>9</v>
      </c>
      <c r="H73" s="12" t="s">
        <v>74</v>
      </c>
      <c r="I73" s="13">
        <f t="shared" si="6"/>
        <v>64</v>
      </c>
      <c r="J73" s="47"/>
    </row>
    <row r="74" spans="1:10">
      <c r="A74" s="105"/>
      <c r="B74" s="115"/>
      <c r="C74" s="110"/>
      <c r="D74" s="110"/>
      <c r="E74" s="108"/>
      <c r="F74" s="108"/>
      <c r="G74" s="14" t="s">
        <v>9</v>
      </c>
      <c r="H74" s="12" t="s">
        <v>46</v>
      </c>
      <c r="I74" s="13">
        <f t="shared" si="6"/>
        <v>32</v>
      </c>
      <c r="J74" s="47"/>
    </row>
    <row r="75" spans="1:10">
      <c r="A75" s="105"/>
      <c r="B75" s="115"/>
      <c r="C75" s="110"/>
      <c r="D75" s="110"/>
      <c r="E75" s="108"/>
      <c r="F75" s="108"/>
      <c r="G75" s="14" t="s">
        <v>9</v>
      </c>
      <c r="H75" s="12" t="s">
        <v>189</v>
      </c>
      <c r="I75" s="13">
        <f t="shared" si="6"/>
        <v>16</v>
      </c>
      <c r="J75" s="47"/>
    </row>
    <row r="76" spans="1:10">
      <c r="A76" s="105"/>
      <c r="B76" s="115"/>
      <c r="C76" s="110"/>
      <c r="D76" s="110"/>
      <c r="E76" s="108"/>
      <c r="F76" s="108"/>
      <c r="G76" s="14" t="s">
        <v>9</v>
      </c>
      <c r="H76" s="12"/>
      <c r="I76" s="13">
        <f t="shared" si="6"/>
        <v>8</v>
      </c>
      <c r="J76" s="47"/>
    </row>
    <row r="77" spans="1:10">
      <c r="A77" s="105"/>
      <c r="B77" s="115"/>
      <c r="C77" s="110"/>
      <c r="D77" s="110"/>
      <c r="E77" s="108"/>
      <c r="F77" s="108"/>
      <c r="G77" s="14" t="s">
        <v>9</v>
      </c>
      <c r="H77" s="12"/>
      <c r="I77" s="13">
        <f t="shared" si="6"/>
        <v>4</v>
      </c>
      <c r="J77" s="47"/>
    </row>
    <row r="78" spans="1:10">
      <c r="A78" s="105"/>
      <c r="B78" s="115"/>
      <c r="C78" s="110"/>
      <c r="D78" s="110"/>
      <c r="E78" s="108"/>
      <c r="F78" s="108"/>
      <c r="G78" s="14" t="s">
        <v>9</v>
      </c>
      <c r="H78" s="12"/>
      <c r="I78" s="13">
        <f t="shared" si="6"/>
        <v>2</v>
      </c>
      <c r="J78" s="47"/>
    </row>
    <row r="79" spans="1:10">
      <c r="A79" s="106"/>
      <c r="B79" s="116"/>
      <c r="C79" s="111"/>
      <c r="D79" s="111"/>
      <c r="E79" s="109"/>
      <c r="F79" s="109"/>
      <c r="G79" s="17" t="s">
        <v>9</v>
      </c>
      <c r="H79" s="15"/>
      <c r="I79" s="16">
        <f t="shared" si="6"/>
        <v>1</v>
      </c>
      <c r="J79" s="20"/>
    </row>
    <row r="80" spans="1:10">
      <c r="A80" s="103">
        <v>18</v>
      </c>
      <c r="B80" s="114" t="s">
        <v>148</v>
      </c>
      <c r="C80" s="107">
        <f t="shared" ref="C80" si="7">D80/2</f>
        <v>2</v>
      </c>
      <c r="D80" s="107">
        <v>4</v>
      </c>
      <c r="E80" s="103">
        <v>0</v>
      </c>
      <c r="F80" s="103">
        <f>16^D80-1</f>
        <v>65535</v>
      </c>
      <c r="G80" s="14" t="s">
        <v>9</v>
      </c>
      <c r="H80" s="12" t="s">
        <v>37</v>
      </c>
      <c r="I80" s="13">
        <v>32768</v>
      </c>
      <c r="J80" s="47"/>
    </row>
    <row r="81" spans="1:10">
      <c r="A81" s="104"/>
      <c r="B81" s="113"/>
      <c r="C81" s="107"/>
      <c r="D81" s="107"/>
      <c r="E81" s="103"/>
      <c r="F81" s="103"/>
      <c r="G81" s="14" t="s">
        <v>9</v>
      </c>
      <c r="H81" s="12" t="s">
        <v>38</v>
      </c>
      <c r="I81" s="13">
        <f>I80/2</f>
        <v>16384</v>
      </c>
      <c r="J81" s="47"/>
    </row>
    <row r="82" spans="1:10">
      <c r="A82" s="104"/>
      <c r="B82" s="113"/>
      <c r="C82" s="107"/>
      <c r="D82" s="107"/>
      <c r="E82" s="103"/>
      <c r="F82" s="103"/>
      <c r="G82" s="14" t="s">
        <v>9</v>
      </c>
      <c r="H82" s="12" t="s">
        <v>39</v>
      </c>
      <c r="I82" s="13">
        <f t="shared" ref="I82:I95" si="8">I81/2</f>
        <v>8192</v>
      </c>
      <c r="J82" s="47"/>
    </row>
    <row r="83" spans="1:10">
      <c r="A83" s="104"/>
      <c r="B83" s="113"/>
      <c r="C83" s="107"/>
      <c r="D83" s="107"/>
      <c r="E83" s="103"/>
      <c r="F83" s="103"/>
      <c r="G83" s="14" t="s">
        <v>9</v>
      </c>
      <c r="H83" s="12" t="s">
        <v>40</v>
      </c>
      <c r="I83" s="13">
        <f t="shared" si="8"/>
        <v>4096</v>
      </c>
      <c r="J83" s="47"/>
    </row>
    <row r="84" spans="1:10">
      <c r="A84" s="104"/>
      <c r="B84" s="113"/>
      <c r="C84" s="107"/>
      <c r="D84" s="107"/>
      <c r="E84" s="103"/>
      <c r="F84" s="103"/>
      <c r="G84" s="14" t="s">
        <v>9</v>
      </c>
      <c r="H84" s="12" t="s">
        <v>41</v>
      </c>
      <c r="I84" s="13">
        <f t="shared" si="8"/>
        <v>2048</v>
      </c>
      <c r="J84" s="47"/>
    </row>
    <row r="85" spans="1:10">
      <c r="A85" s="104"/>
      <c r="B85" s="113"/>
      <c r="C85" s="107"/>
      <c r="D85" s="107"/>
      <c r="E85" s="103"/>
      <c r="F85" s="103"/>
      <c r="G85" s="14" t="s">
        <v>9</v>
      </c>
      <c r="H85" s="12" t="s">
        <v>42</v>
      </c>
      <c r="I85" s="13">
        <f t="shared" si="8"/>
        <v>1024</v>
      </c>
      <c r="J85" s="47"/>
    </row>
    <row r="86" spans="1:10">
      <c r="A86" s="104"/>
      <c r="B86" s="113"/>
      <c r="C86" s="107"/>
      <c r="D86" s="107"/>
      <c r="E86" s="103"/>
      <c r="F86" s="103"/>
      <c r="G86" s="14" t="s">
        <v>9</v>
      </c>
      <c r="H86" s="12" t="s">
        <v>43</v>
      </c>
      <c r="I86" s="13">
        <f t="shared" si="8"/>
        <v>512</v>
      </c>
      <c r="J86" s="47"/>
    </row>
    <row r="87" spans="1:10">
      <c r="A87" s="104"/>
      <c r="B87" s="113"/>
      <c r="C87" s="107"/>
      <c r="D87" s="107"/>
      <c r="E87" s="103"/>
      <c r="F87" s="103"/>
      <c r="G87" s="14" t="s">
        <v>9</v>
      </c>
      <c r="H87" s="12" t="s">
        <v>44</v>
      </c>
      <c r="I87" s="13">
        <f t="shared" si="8"/>
        <v>256</v>
      </c>
      <c r="J87" s="47"/>
    </row>
    <row r="88" spans="1:10">
      <c r="A88" s="104"/>
      <c r="B88" s="113"/>
      <c r="C88" s="107"/>
      <c r="D88" s="107"/>
      <c r="E88" s="103"/>
      <c r="F88" s="103"/>
      <c r="G88" s="14" t="s">
        <v>9</v>
      </c>
      <c r="H88" s="12" t="s">
        <v>45</v>
      </c>
      <c r="I88" s="13">
        <f t="shared" si="8"/>
        <v>128</v>
      </c>
      <c r="J88" s="47"/>
    </row>
    <row r="89" spans="1:10">
      <c r="A89" s="105"/>
      <c r="B89" s="115"/>
      <c r="C89" s="110"/>
      <c r="D89" s="110"/>
      <c r="E89" s="108"/>
      <c r="F89" s="108"/>
      <c r="G89" s="14" t="s">
        <v>9</v>
      </c>
      <c r="H89" s="12" t="s">
        <v>74</v>
      </c>
      <c r="I89" s="13">
        <f t="shared" si="8"/>
        <v>64</v>
      </c>
      <c r="J89" s="47"/>
    </row>
    <row r="90" spans="1:10">
      <c r="A90" s="105"/>
      <c r="B90" s="115"/>
      <c r="C90" s="110"/>
      <c r="D90" s="110"/>
      <c r="E90" s="108"/>
      <c r="F90" s="108"/>
      <c r="G90" s="14" t="s">
        <v>9</v>
      </c>
      <c r="H90" s="12" t="s">
        <v>46</v>
      </c>
      <c r="I90" s="13">
        <f t="shared" si="8"/>
        <v>32</v>
      </c>
      <c r="J90" s="47"/>
    </row>
    <row r="91" spans="1:10">
      <c r="A91" s="105"/>
      <c r="B91" s="115"/>
      <c r="C91" s="110"/>
      <c r="D91" s="110"/>
      <c r="E91" s="108"/>
      <c r="F91" s="108"/>
      <c r="G91" s="14" t="s">
        <v>9</v>
      </c>
      <c r="H91" s="12" t="s">
        <v>189</v>
      </c>
      <c r="I91" s="13">
        <f t="shared" si="8"/>
        <v>16</v>
      </c>
      <c r="J91" s="47"/>
    </row>
    <row r="92" spans="1:10">
      <c r="A92" s="105"/>
      <c r="B92" s="115"/>
      <c r="C92" s="110"/>
      <c r="D92" s="110"/>
      <c r="E92" s="108"/>
      <c r="F92" s="108"/>
      <c r="G92" s="14" t="s">
        <v>9</v>
      </c>
      <c r="H92" s="12"/>
      <c r="I92" s="13">
        <f t="shared" si="8"/>
        <v>8</v>
      </c>
      <c r="J92" s="47"/>
    </row>
    <row r="93" spans="1:10">
      <c r="A93" s="105"/>
      <c r="B93" s="115"/>
      <c r="C93" s="110"/>
      <c r="D93" s="110"/>
      <c r="E93" s="108"/>
      <c r="F93" s="108"/>
      <c r="G93" s="14" t="s">
        <v>9</v>
      </c>
      <c r="H93" s="12"/>
      <c r="I93" s="13">
        <f t="shared" si="8"/>
        <v>4</v>
      </c>
      <c r="J93" s="47"/>
    </row>
    <row r="94" spans="1:10">
      <c r="A94" s="105"/>
      <c r="B94" s="115"/>
      <c r="C94" s="110"/>
      <c r="D94" s="110"/>
      <c r="E94" s="108"/>
      <c r="F94" s="108"/>
      <c r="G94" s="14" t="s">
        <v>9</v>
      </c>
      <c r="H94" s="12"/>
      <c r="I94" s="13">
        <f t="shared" si="8"/>
        <v>2</v>
      </c>
      <c r="J94" s="47"/>
    </row>
    <row r="95" spans="1:10">
      <c r="A95" s="106"/>
      <c r="B95" s="116"/>
      <c r="C95" s="111"/>
      <c r="D95" s="111"/>
      <c r="E95" s="109"/>
      <c r="F95" s="109"/>
      <c r="G95" s="17" t="s">
        <v>9</v>
      </c>
      <c r="H95" s="15"/>
      <c r="I95" s="16">
        <f t="shared" si="8"/>
        <v>1</v>
      </c>
      <c r="J95" s="20"/>
    </row>
    <row r="96" spans="1:10">
      <c r="A96" s="103">
        <v>19</v>
      </c>
      <c r="B96" s="114" t="s">
        <v>149</v>
      </c>
      <c r="C96" s="107">
        <f t="shared" ref="C96" si="9">D96/2</f>
        <v>2</v>
      </c>
      <c r="D96" s="107">
        <v>4</v>
      </c>
      <c r="E96" s="103">
        <v>0</v>
      </c>
      <c r="F96" s="103">
        <f>16^D96-1</f>
        <v>65535</v>
      </c>
      <c r="G96" s="14" t="s">
        <v>9</v>
      </c>
      <c r="H96" s="12" t="s">
        <v>37</v>
      </c>
      <c r="I96" s="13">
        <v>32768</v>
      </c>
      <c r="J96" s="47"/>
    </row>
    <row r="97" spans="1:10">
      <c r="A97" s="104"/>
      <c r="B97" s="113"/>
      <c r="C97" s="107"/>
      <c r="D97" s="107"/>
      <c r="E97" s="103"/>
      <c r="F97" s="103"/>
      <c r="G97" s="14" t="s">
        <v>9</v>
      </c>
      <c r="H97" s="12" t="s">
        <v>38</v>
      </c>
      <c r="I97" s="13">
        <f>I96/2</f>
        <v>16384</v>
      </c>
      <c r="J97" s="47"/>
    </row>
    <row r="98" spans="1:10">
      <c r="A98" s="104"/>
      <c r="B98" s="113"/>
      <c r="C98" s="107"/>
      <c r="D98" s="107"/>
      <c r="E98" s="103"/>
      <c r="F98" s="103"/>
      <c r="G98" s="14" t="s">
        <v>9</v>
      </c>
      <c r="H98" s="12" t="s">
        <v>39</v>
      </c>
      <c r="I98" s="13">
        <f t="shared" ref="I98:I111" si="10">I97/2</f>
        <v>8192</v>
      </c>
      <c r="J98" s="47"/>
    </row>
    <row r="99" spans="1:10">
      <c r="A99" s="104"/>
      <c r="B99" s="113"/>
      <c r="C99" s="107"/>
      <c r="D99" s="107"/>
      <c r="E99" s="103"/>
      <c r="F99" s="103"/>
      <c r="G99" s="14" t="s">
        <v>9</v>
      </c>
      <c r="H99" s="12" t="s">
        <v>40</v>
      </c>
      <c r="I99" s="13">
        <f t="shared" si="10"/>
        <v>4096</v>
      </c>
      <c r="J99" s="47"/>
    </row>
    <row r="100" spans="1:10">
      <c r="A100" s="104"/>
      <c r="B100" s="113"/>
      <c r="C100" s="107"/>
      <c r="D100" s="107"/>
      <c r="E100" s="103"/>
      <c r="F100" s="103"/>
      <c r="G100" s="14" t="s">
        <v>9</v>
      </c>
      <c r="H100" s="12" t="s">
        <v>41</v>
      </c>
      <c r="I100" s="13">
        <f t="shared" si="10"/>
        <v>2048</v>
      </c>
      <c r="J100" s="47"/>
    </row>
    <row r="101" spans="1:10">
      <c r="A101" s="104"/>
      <c r="B101" s="113"/>
      <c r="C101" s="107"/>
      <c r="D101" s="107"/>
      <c r="E101" s="103"/>
      <c r="F101" s="103"/>
      <c r="G101" s="14" t="s">
        <v>9</v>
      </c>
      <c r="H101" s="12" t="s">
        <v>42</v>
      </c>
      <c r="I101" s="13">
        <f t="shared" si="10"/>
        <v>1024</v>
      </c>
      <c r="J101" s="47"/>
    </row>
    <row r="102" spans="1:10">
      <c r="A102" s="104"/>
      <c r="B102" s="113"/>
      <c r="C102" s="107"/>
      <c r="D102" s="107"/>
      <c r="E102" s="103"/>
      <c r="F102" s="103"/>
      <c r="G102" s="14" t="s">
        <v>9</v>
      </c>
      <c r="H102" s="12" t="s">
        <v>43</v>
      </c>
      <c r="I102" s="13">
        <f t="shared" si="10"/>
        <v>512</v>
      </c>
      <c r="J102" s="47"/>
    </row>
    <row r="103" spans="1:10">
      <c r="A103" s="104"/>
      <c r="B103" s="113"/>
      <c r="C103" s="107"/>
      <c r="D103" s="107"/>
      <c r="E103" s="103"/>
      <c r="F103" s="103"/>
      <c r="G103" s="14" t="s">
        <v>9</v>
      </c>
      <c r="H103" s="12" t="s">
        <v>44</v>
      </c>
      <c r="I103" s="13">
        <f t="shared" si="10"/>
        <v>256</v>
      </c>
      <c r="J103" s="47"/>
    </row>
    <row r="104" spans="1:10">
      <c r="A104" s="104"/>
      <c r="B104" s="113"/>
      <c r="C104" s="107"/>
      <c r="D104" s="107"/>
      <c r="E104" s="103"/>
      <c r="F104" s="103"/>
      <c r="G104" s="14" t="s">
        <v>9</v>
      </c>
      <c r="H104" s="12" t="s">
        <v>45</v>
      </c>
      <c r="I104" s="13">
        <f t="shared" si="10"/>
        <v>128</v>
      </c>
      <c r="J104" s="47"/>
    </row>
    <row r="105" spans="1:10">
      <c r="A105" s="105"/>
      <c r="B105" s="115"/>
      <c r="C105" s="110"/>
      <c r="D105" s="110"/>
      <c r="E105" s="108"/>
      <c r="F105" s="108"/>
      <c r="G105" s="14" t="s">
        <v>9</v>
      </c>
      <c r="H105" s="12" t="s">
        <v>74</v>
      </c>
      <c r="I105" s="13">
        <f t="shared" si="10"/>
        <v>64</v>
      </c>
      <c r="J105" s="47"/>
    </row>
    <row r="106" spans="1:10">
      <c r="A106" s="105"/>
      <c r="B106" s="115"/>
      <c r="C106" s="110"/>
      <c r="D106" s="110"/>
      <c r="E106" s="108"/>
      <c r="F106" s="108"/>
      <c r="G106" s="14" t="s">
        <v>9</v>
      </c>
      <c r="H106" s="12" t="s">
        <v>46</v>
      </c>
      <c r="I106" s="13">
        <f t="shared" si="10"/>
        <v>32</v>
      </c>
      <c r="J106" s="47"/>
    </row>
    <row r="107" spans="1:10">
      <c r="A107" s="105"/>
      <c r="B107" s="115"/>
      <c r="C107" s="110"/>
      <c r="D107" s="110"/>
      <c r="E107" s="108"/>
      <c r="F107" s="108"/>
      <c r="G107" s="14" t="s">
        <v>9</v>
      </c>
      <c r="H107" s="12" t="s">
        <v>189</v>
      </c>
      <c r="I107" s="13">
        <f t="shared" si="10"/>
        <v>16</v>
      </c>
      <c r="J107" s="47"/>
    </row>
    <row r="108" spans="1:10">
      <c r="A108" s="105"/>
      <c r="B108" s="115"/>
      <c r="C108" s="110"/>
      <c r="D108" s="110"/>
      <c r="E108" s="108"/>
      <c r="F108" s="108"/>
      <c r="G108" s="14" t="s">
        <v>9</v>
      </c>
      <c r="H108" s="12"/>
      <c r="I108" s="13">
        <f t="shared" si="10"/>
        <v>8</v>
      </c>
      <c r="J108" s="47"/>
    </row>
    <row r="109" spans="1:10">
      <c r="A109" s="105"/>
      <c r="B109" s="115"/>
      <c r="C109" s="110"/>
      <c r="D109" s="110"/>
      <c r="E109" s="108"/>
      <c r="F109" s="108"/>
      <c r="G109" s="14" t="s">
        <v>9</v>
      </c>
      <c r="H109" s="12"/>
      <c r="I109" s="13">
        <f t="shared" si="10"/>
        <v>4</v>
      </c>
      <c r="J109" s="47"/>
    </row>
    <row r="110" spans="1:10">
      <c r="A110" s="105"/>
      <c r="B110" s="115"/>
      <c r="C110" s="110"/>
      <c r="D110" s="110"/>
      <c r="E110" s="108"/>
      <c r="F110" s="108"/>
      <c r="G110" s="14" t="s">
        <v>9</v>
      </c>
      <c r="H110" s="12"/>
      <c r="I110" s="13">
        <f t="shared" si="10"/>
        <v>2</v>
      </c>
      <c r="J110" s="47"/>
    </row>
    <row r="111" spans="1:10">
      <c r="A111" s="106"/>
      <c r="B111" s="116"/>
      <c r="C111" s="111"/>
      <c r="D111" s="111"/>
      <c r="E111" s="109"/>
      <c r="F111" s="109"/>
      <c r="G111" s="17" t="s">
        <v>9</v>
      </c>
      <c r="H111" s="15"/>
      <c r="I111" s="16">
        <f t="shared" si="10"/>
        <v>1</v>
      </c>
      <c r="J111" s="20"/>
    </row>
    <row r="113" spans="1:1">
      <c r="A113" s="2" t="s">
        <v>150</v>
      </c>
    </row>
    <row r="114" spans="1:1">
      <c r="A114" s="2" t="s">
        <v>152</v>
      </c>
    </row>
    <row r="115" spans="1:1">
      <c r="A115" s="2" t="s">
        <v>151</v>
      </c>
    </row>
  </sheetData>
  <sheetProtection selectLockedCells="1"/>
  <mergeCells count="30">
    <mergeCell ref="A96:A111"/>
    <mergeCell ref="B96:B111"/>
    <mergeCell ref="D96:D111"/>
    <mergeCell ref="E96:E111"/>
    <mergeCell ref="F96:F111"/>
    <mergeCell ref="C96:C111"/>
    <mergeCell ref="A80:A95"/>
    <mergeCell ref="B80:B95"/>
    <mergeCell ref="D80:D95"/>
    <mergeCell ref="E80:E95"/>
    <mergeCell ref="F80:F95"/>
    <mergeCell ref="C80:C95"/>
    <mergeCell ref="A64:A79"/>
    <mergeCell ref="B64:B79"/>
    <mergeCell ref="D64:D79"/>
    <mergeCell ref="E64:E79"/>
    <mergeCell ref="F64:F79"/>
    <mergeCell ref="C64:C79"/>
    <mergeCell ref="A23:A32"/>
    <mergeCell ref="A48:A63"/>
    <mergeCell ref="D23:D32"/>
    <mergeCell ref="E23:E32"/>
    <mergeCell ref="F23:F32"/>
    <mergeCell ref="F48:F63"/>
    <mergeCell ref="E48:E63"/>
    <mergeCell ref="D48:D63"/>
    <mergeCell ref="B23:B32"/>
    <mergeCell ref="B48:B63"/>
    <mergeCell ref="C23:C32"/>
    <mergeCell ref="C48:C63"/>
  </mergeCells>
  <phoneticPr fontId="1" type="noConversion"/>
  <pageMargins left="0.7" right="0.7" top="0.75" bottom="0.75" header="0.3" footer="0.3"/>
  <pageSetup paperSize="9"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A82CA-DEC0-4FB5-8825-6319D32FAAD1}">
  <sheetPr codeName="Sheet5"/>
  <dimension ref="A1:J18"/>
  <sheetViews>
    <sheetView showGridLines="0" zoomScale="115" zoomScaleNormal="115" workbookViewId="0">
      <selection activeCell="K24" sqref="K24"/>
    </sheetView>
  </sheetViews>
  <sheetFormatPr defaultColWidth="9" defaultRowHeight="15"/>
  <cols>
    <col min="1" max="1" width="4.42578125" style="4" customWidth="1"/>
    <col min="2" max="2" width="20.5703125" style="4" bestFit="1" customWidth="1"/>
    <col min="3" max="3" width="7.7109375" style="4" bestFit="1" customWidth="1"/>
    <col min="4" max="4" width="5.7109375" style="4" bestFit="1" customWidth="1"/>
    <col min="5" max="5" width="5.85546875" style="4" bestFit="1" customWidth="1"/>
    <col min="6" max="6" width="6.7109375" style="4" bestFit="1" customWidth="1"/>
    <col min="7" max="7" width="7.28515625" style="1" bestFit="1" customWidth="1"/>
    <col min="8" max="8" width="27" style="1" bestFit="1" customWidth="1"/>
    <col min="9" max="9" width="7.7109375" style="4" bestFit="1" customWidth="1"/>
    <col min="10" max="10" width="39.28515625" style="1" customWidth="1"/>
    <col min="11" max="11" width="73.140625" style="1" bestFit="1" customWidth="1"/>
    <col min="12" max="16384" width="9" style="1"/>
  </cols>
  <sheetData>
    <row r="1" spans="1:10">
      <c r="A1" s="2" t="s">
        <v>292</v>
      </c>
    </row>
    <row r="2" spans="1:10">
      <c r="A2" s="2" t="s">
        <v>296</v>
      </c>
    </row>
    <row r="3" spans="1:10" ht="18.75">
      <c r="A3" s="18"/>
      <c r="B3" s="18" t="s">
        <v>0</v>
      </c>
      <c r="C3" s="18" t="s">
        <v>188</v>
      </c>
      <c r="D3" s="18" t="s">
        <v>295</v>
      </c>
      <c r="E3" s="18" t="s">
        <v>2</v>
      </c>
      <c r="F3" s="18" t="s">
        <v>3</v>
      </c>
      <c r="G3" s="19" t="s">
        <v>6</v>
      </c>
      <c r="H3" s="19" t="s">
        <v>1</v>
      </c>
      <c r="I3" s="18" t="s">
        <v>282</v>
      </c>
      <c r="J3" s="19" t="s">
        <v>4</v>
      </c>
    </row>
    <row r="4" spans="1:10">
      <c r="A4" s="21"/>
      <c r="B4" s="21"/>
      <c r="C4" s="21">
        <f>SUM(C5:C191)</f>
        <v>22</v>
      </c>
      <c r="D4" s="21">
        <f>SUM(D5:D191)</f>
        <v>44</v>
      </c>
      <c r="E4" s="21"/>
      <c r="F4" s="21"/>
      <c r="G4" s="22"/>
      <c r="H4" s="22" t="s">
        <v>70</v>
      </c>
      <c r="I4" s="21"/>
      <c r="J4" s="22"/>
    </row>
    <row r="5" spans="1:10">
      <c r="A5" s="6">
        <v>0</v>
      </c>
      <c r="B5" s="7" t="s">
        <v>382</v>
      </c>
      <c r="C5" s="6">
        <v>2</v>
      </c>
      <c r="D5" s="6">
        <v>4</v>
      </c>
      <c r="E5" s="6">
        <v>0</v>
      </c>
      <c r="F5" s="6">
        <f t="shared" ref="F5:F10" si="0">16^D5-1</f>
        <v>65535</v>
      </c>
      <c r="G5" s="60" t="s">
        <v>95</v>
      </c>
      <c r="H5" s="8" t="s">
        <v>385</v>
      </c>
      <c r="I5" s="6"/>
      <c r="J5" s="74" t="s">
        <v>337</v>
      </c>
    </row>
    <row r="6" spans="1:10">
      <c r="A6" s="13">
        <v>1</v>
      </c>
      <c r="B6" s="47" t="s">
        <v>383</v>
      </c>
      <c r="C6" s="13">
        <v>2</v>
      </c>
      <c r="D6" s="13">
        <v>4</v>
      </c>
      <c r="E6" s="13">
        <v>0</v>
      </c>
      <c r="F6" s="13">
        <f t="shared" si="0"/>
        <v>65535</v>
      </c>
      <c r="G6" s="14" t="s">
        <v>95</v>
      </c>
      <c r="H6" s="12" t="s">
        <v>386</v>
      </c>
      <c r="I6" s="13"/>
      <c r="J6" s="87" t="s">
        <v>337</v>
      </c>
    </row>
    <row r="7" spans="1:10">
      <c r="A7" s="13">
        <v>2</v>
      </c>
      <c r="B7" s="47" t="s">
        <v>384</v>
      </c>
      <c r="C7" s="13">
        <v>2</v>
      </c>
      <c r="D7" s="13">
        <v>4</v>
      </c>
      <c r="E7" s="13">
        <v>0</v>
      </c>
      <c r="F7" s="13">
        <f t="shared" si="0"/>
        <v>65535</v>
      </c>
      <c r="G7" s="14" t="s">
        <v>95</v>
      </c>
      <c r="H7" s="12" t="s">
        <v>387</v>
      </c>
      <c r="I7" s="13"/>
      <c r="J7" s="87" t="s">
        <v>337</v>
      </c>
    </row>
    <row r="8" spans="1:10">
      <c r="A8" s="13">
        <v>3</v>
      </c>
      <c r="B8" s="47" t="s">
        <v>227</v>
      </c>
      <c r="C8" s="13">
        <v>2</v>
      </c>
      <c r="D8" s="13">
        <v>4</v>
      </c>
      <c r="E8" s="13">
        <v>0</v>
      </c>
      <c r="F8" s="13">
        <f t="shared" si="0"/>
        <v>65535</v>
      </c>
      <c r="G8" s="14" t="s">
        <v>66</v>
      </c>
      <c r="H8" s="12" t="s">
        <v>234</v>
      </c>
      <c r="I8" s="13"/>
      <c r="J8" s="12"/>
    </row>
    <row r="9" spans="1:10">
      <c r="A9" s="70">
        <v>4</v>
      </c>
      <c r="B9" s="47" t="s">
        <v>235</v>
      </c>
      <c r="C9" s="13">
        <v>2</v>
      </c>
      <c r="D9" s="13">
        <v>4</v>
      </c>
      <c r="E9" s="13">
        <v>0</v>
      </c>
      <c r="F9" s="13">
        <f t="shared" si="0"/>
        <v>65535</v>
      </c>
      <c r="G9" s="14" t="s">
        <v>95</v>
      </c>
      <c r="H9" s="12" t="s">
        <v>336</v>
      </c>
      <c r="I9" s="13"/>
      <c r="J9" s="12" t="s">
        <v>348</v>
      </c>
    </row>
    <row r="10" spans="1:10">
      <c r="A10" s="63">
        <v>5</v>
      </c>
      <c r="B10" s="67" t="s">
        <v>228</v>
      </c>
      <c r="C10" s="63">
        <v>2</v>
      </c>
      <c r="D10" s="63">
        <v>4</v>
      </c>
      <c r="E10" s="63">
        <v>0</v>
      </c>
      <c r="F10" s="63">
        <f t="shared" si="0"/>
        <v>65535</v>
      </c>
      <c r="G10" s="68" t="s">
        <v>95</v>
      </c>
      <c r="H10" s="69" t="s">
        <v>237</v>
      </c>
      <c r="I10" s="13">
        <v>9</v>
      </c>
      <c r="J10" s="12" t="s">
        <v>334</v>
      </c>
    </row>
    <row r="11" spans="1:10">
      <c r="A11" s="70"/>
      <c r="B11" s="65"/>
      <c r="C11" s="70"/>
      <c r="D11" s="70"/>
      <c r="E11" s="70"/>
      <c r="F11" s="70"/>
      <c r="G11" s="72"/>
      <c r="H11" s="66"/>
      <c r="I11" s="13">
        <v>10</v>
      </c>
      <c r="J11" s="12" t="s">
        <v>335</v>
      </c>
    </row>
    <row r="12" spans="1:10">
      <c r="A12" s="63">
        <v>6</v>
      </c>
      <c r="B12" s="67" t="s">
        <v>229</v>
      </c>
      <c r="C12" s="63">
        <v>2</v>
      </c>
      <c r="D12" s="63">
        <v>4</v>
      </c>
      <c r="E12" s="63">
        <v>0</v>
      </c>
      <c r="F12" s="63">
        <f>16^D12-1</f>
        <v>65535</v>
      </c>
      <c r="G12" s="68" t="s">
        <v>95</v>
      </c>
      <c r="H12" s="69" t="s">
        <v>238</v>
      </c>
      <c r="I12" s="13">
        <v>11</v>
      </c>
      <c r="J12" s="12" t="s">
        <v>338</v>
      </c>
    </row>
    <row r="13" spans="1:10">
      <c r="A13" s="70"/>
      <c r="B13" s="71"/>
      <c r="C13" s="70"/>
      <c r="D13" s="70"/>
      <c r="E13" s="70"/>
      <c r="F13" s="70"/>
      <c r="G13" s="72"/>
      <c r="H13" s="73"/>
      <c r="I13" s="13">
        <v>12</v>
      </c>
      <c r="J13" s="12" t="s">
        <v>339</v>
      </c>
    </row>
    <row r="14" spans="1:10">
      <c r="A14" s="70"/>
      <c r="B14" s="71"/>
      <c r="C14" s="70"/>
      <c r="D14" s="70"/>
      <c r="E14" s="70"/>
      <c r="F14" s="70"/>
      <c r="G14" s="72"/>
      <c r="H14" s="73"/>
      <c r="I14" s="13">
        <v>13</v>
      </c>
      <c r="J14" s="12" t="s">
        <v>340</v>
      </c>
    </row>
    <row r="15" spans="1:10">
      <c r="A15" s="63">
        <v>7</v>
      </c>
      <c r="B15" s="67" t="s">
        <v>355</v>
      </c>
      <c r="C15" s="63">
        <v>2</v>
      </c>
      <c r="D15" s="63">
        <v>4</v>
      </c>
      <c r="E15" s="63">
        <v>0</v>
      </c>
      <c r="F15" s="63">
        <f t="shared" ref="F15" si="1">16^D15-1</f>
        <v>65535</v>
      </c>
      <c r="G15" s="68" t="s">
        <v>95</v>
      </c>
      <c r="H15" s="69" t="s">
        <v>357</v>
      </c>
      <c r="I15" s="13" t="s">
        <v>346</v>
      </c>
      <c r="J15" s="12" t="s">
        <v>347</v>
      </c>
    </row>
    <row r="16" spans="1:10">
      <c r="A16" s="13">
        <v>8</v>
      </c>
      <c r="B16" s="67" t="s">
        <v>356</v>
      </c>
      <c r="C16" s="63">
        <v>2</v>
      </c>
      <c r="D16" s="63">
        <v>4</v>
      </c>
      <c r="E16" s="63">
        <v>0</v>
      </c>
      <c r="F16" s="63">
        <f t="shared" ref="F16" si="2">16^D16-1</f>
        <v>65535</v>
      </c>
      <c r="G16" s="68" t="s">
        <v>95</v>
      </c>
      <c r="H16" s="69" t="s">
        <v>358</v>
      </c>
      <c r="I16" s="13" t="s">
        <v>346</v>
      </c>
      <c r="J16" s="12" t="s">
        <v>347</v>
      </c>
    </row>
    <row r="17" spans="1:10">
      <c r="A17" s="63">
        <v>9</v>
      </c>
      <c r="B17" s="47" t="s">
        <v>232</v>
      </c>
      <c r="C17" s="13">
        <v>2</v>
      </c>
      <c r="D17" s="13">
        <v>4</v>
      </c>
      <c r="E17" s="13">
        <v>0</v>
      </c>
      <c r="F17" s="13">
        <f>16^D17-1</f>
        <v>65535</v>
      </c>
      <c r="G17" s="12" t="s">
        <v>359</v>
      </c>
      <c r="H17" s="12" t="s">
        <v>242</v>
      </c>
      <c r="I17" s="13"/>
      <c r="J17" s="12"/>
    </row>
    <row r="18" spans="1:10">
      <c r="A18" s="16">
        <v>10</v>
      </c>
      <c r="B18" s="20" t="s">
        <v>233</v>
      </c>
      <c r="C18" s="16">
        <v>2</v>
      </c>
      <c r="D18" s="16">
        <v>4</v>
      </c>
      <c r="E18" s="16">
        <v>0</v>
      </c>
      <c r="F18" s="16">
        <f>16^D18-1</f>
        <v>65535</v>
      </c>
      <c r="G18" s="15" t="s">
        <v>360</v>
      </c>
      <c r="H18" s="15" t="s">
        <v>244</v>
      </c>
      <c r="I18" s="16"/>
      <c r="J18" s="15"/>
    </row>
  </sheetData>
  <sheetProtection selectLockedCells="1"/>
  <phoneticPr fontId="3" type="noConversion"/>
  <pageMargins left="0.7" right="0.7" top="0.75" bottom="0.75" header="0.3" footer="0.3"/>
  <pageSetup paperSize="9"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CB0BF-0C69-4854-98F8-1DC61F4985C0}">
  <sheetPr codeName="Sheet6"/>
  <dimension ref="A1:K35"/>
  <sheetViews>
    <sheetView showGridLines="0" zoomScaleNormal="100" workbookViewId="0">
      <selection activeCell="K6" sqref="K6"/>
    </sheetView>
  </sheetViews>
  <sheetFormatPr defaultColWidth="9" defaultRowHeight="15"/>
  <cols>
    <col min="1" max="1" width="4.42578125" style="4" customWidth="1"/>
    <col min="2" max="2" width="27.7109375" style="4" customWidth="1"/>
    <col min="3" max="3" width="7.7109375" style="4" bestFit="1" customWidth="1"/>
    <col min="4" max="4" width="5.7109375" style="4" bestFit="1" customWidth="1"/>
    <col min="5" max="5" width="5.85546875" style="4" bestFit="1" customWidth="1"/>
    <col min="6" max="6" width="6.7109375" style="4" bestFit="1" customWidth="1"/>
    <col min="7" max="7" width="9.140625" style="1" bestFit="1" customWidth="1"/>
    <col min="8" max="8" width="27" style="1" bestFit="1" customWidth="1"/>
    <col min="9" max="9" width="8.42578125" style="4" bestFit="1" customWidth="1"/>
    <col min="10" max="10" width="42.42578125" style="1" bestFit="1" customWidth="1"/>
    <col min="11" max="16384" width="9" style="1"/>
  </cols>
  <sheetData>
    <row r="1" spans="1:11">
      <c r="A1" s="2" t="s">
        <v>293</v>
      </c>
    </row>
    <row r="2" spans="1:11">
      <c r="A2" s="2" t="s">
        <v>296</v>
      </c>
    </row>
    <row r="3" spans="1:11" ht="18.75">
      <c r="A3" s="18"/>
      <c r="B3" s="18" t="s">
        <v>0</v>
      </c>
      <c r="C3" s="18" t="s">
        <v>188</v>
      </c>
      <c r="D3" s="18" t="s">
        <v>295</v>
      </c>
      <c r="E3" s="18" t="s">
        <v>2</v>
      </c>
      <c r="F3" s="18" t="s">
        <v>3</v>
      </c>
      <c r="G3" s="19" t="s">
        <v>6</v>
      </c>
      <c r="H3" s="19" t="s">
        <v>1</v>
      </c>
      <c r="I3" s="18" t="s">
        <v>236</v>
      </c>
      <c r="J3" s="19" t="s">
        <v>4</v>
      </c>
    </row>
    <row r="4" spans="1:11">
      <c r="A4" s="21"/>
      <c r="B4" s="21"/>
      <c r="C4" s="21">
        <f>SUM(C5:C40)</f>
        <v>36</v>
      </c>
      <c r="D4" s="21">
        <f>SUM(D5:D40)</f>
        <v>72</v>
      </c>
      <c r="E4" s="21"/>
      <c r="F4" s="21"/>
      <c r="G4" s="22"/>
      <c r="H4" s="22" t="s">
        <v>70</v>
      </c>
      <c r="I4" s="21"/>
      <c r="J4" s="22"/>
    </row>
    <row r="5" spans="1:11">
      <c r="A5" s="6">
        <v>0</v>
      </c>
      <c r="B5" s="7" t="s">
        <v>379</v>
      </c>
      <c r="C5" s="6">
        <v>2</v>
      </c>
      <c r="D5" s="6">
        <v>4</v>
      </c>
      <c r="E5" s="6">
        <v>0</v>
      </c>
      <c r="F5" s="6">
        <f t="shared" ref="F5:F19" si="0">16^D5-1</f>
        <v>65535</v>
      </c>
      <c r="G5" s="60" t="s">
        <v>95</v>
      </c>
      <c r="H5" s="8" t="s">
        <v>388</v>
      </c>
      <c r="I5" s="6"/>
      <c r="J5" s="74" t="s">
        <v>403</v>
      </c>
      <c r="K5" s="1" t="s">
        <v>405</v>
      </c>
    </row>
    <row r="6" spans="1:11">
      <c r="A6" s="13">
        <v>1</v>
      </c>
      <c r="B6" s="47" t="s">
        <v>380</v>
      </c>
      <c r="C6" s="13">
        <v>2</v>
      </c>
      <c r="D6" s="13">
        <v>4</v>
      </c>
      <c r="E6" s="13">
        <v>0</v>
      </c>
      <c r="F6" s="13">
        <f t="shared" ref="F6:F7" si="1">16^D6-1</f>
        <v>65535</v>
      </c>
      <c r="G6" s="14" t="s">
        <v>95</v>
      </c>
      <c r="H6" s="12" t="s">
        <v>389</v>
      </c>
      <c r="I6" s="13"/>
      <c r="J6" s="87" t="s">
        <v>403</v>
      </c>
    </row>
    <row r="7" spans="1:11">
      <c r="A7" s="13">
        <v>2</v>
      </c>
      <c r="B7" s="47" t="s">
        <v>381</v>
      </c>
      <c r="C7" s="13">
        <v>2</v>
      </c>
      <c r="D7" s="13">
        <v>4</v>
      </c>
      <c r="E7" s="13">
        <v>0</v>
      </c>
      <c r="F7" s="13">
        <f t="shared" si="1"/>
        <v>65535</v>
      </c>
      <c r="G7" s="14" t="s">
        <v>95</v>
      </c>
      <c r="H7" s="12" t="s">
        <v>390</v>
      </c>
      <c r="I7" s="13"/>
      <c r="J7" s="87" t="s">
        <v>403</v>
      </c>
    </row>
    <row r="8" spans="1:11">
      <c r="A8" s="13">
        <v>3</v>
      </c>
      <c r="B8" s="47" t="s">
        <v>246</v>
      </c>
      <c r="C8" s="13">
        <v>2</v>
      </c>
      <c r="D8" s="13">
        <v>4</v>
      </c>
      <c r="E8" s="13">
        <v>0</v>
      </c>
      <c r="F8" s="13">
        <f t="shared" ref="F8:F15" si="2">16^D8-1</f>
        <v>65535</v>
      </c>
      <c r="G8" s="12" t="s">
        <v>243</v>
      </c>
      <c r="H8" s="12" t="s">
        <v>248</v>
      </c>
      <c r="I8" s="13"/>
      <c r="J8" s="12"/>
    </row>
    <row r="9" spans="1:11">
      <c r="A9" s="13">
        <v>4</v>
      </c>
      <c r="B9" s="47" t="s">
        <v>245</v>
      </c>
      <c r="C9" s="13">
        <v>2</v>
      </c>
      <c r="D9" s="13">
        <v>4</v>
      </c>
      <c r="E9" s="13">
        <v>0</v>
      </c>
      <c r="F9" s="13">
        <f t="shared" si="2"/>
        <v>65535</v>
      </c>
      <c r="G9" s="12" t="s">
        <v>243</v>
      </c>
      <c r="H9" s="12" t="s">
        <v>249</v>
      </c>
      <c r="I9" s="13"/>
      <c r="J9" s="12"/>
    </row>
    <row r="10" spans="1:11">
      <c r="A10" s="13">
        <v>5</v>
      </c>
      <c r="B10" s="47" t="s">
        <v>247</v>
      </c>
      <c r="C10" s="13">
        <v>2</v>
      </c>
      <c r="D10" s="13">
        <v>4</v>
      </c>
      <c r="E10" s="13">
        <v>0</v>
      </c>
      <c r="F10" s="13">
        <f t="shared" si="2"/>
        <v>65535</v>
      </c>
      <c r="G10" s="12" t="s">
        <v>243</v>
      </c>
      <c r="H10" s="12" t="s">
        <v>250</v>
      </c>
      <c r="I10" s="13"/>
      <c r="J10" s="12"/>
    </row>
    <row r="11" spans="1:11">
      <c r="A11" s="13">
        <v>6</v>
      </c>
      <c r="B11" s="47" t="s">
        <v>252</v>
      </c>
      <c r="C11" s="13">
        <v>2</v>
      </c>
      <c r="D11" s="13">
        <v>4</v>
      </c>
      <c r="E11" s="13">
        <v>0</v>
      </c>
      <c r="F11" s="13">
        <f t="shared" si="2"/>
        <v>65535</v>
      </c>
      <c r="G11" s="12" t="s">
        <v>243</v>
      </c>
      <c r="H11" s="12" t="s">
        <v>252</v>
      </c>
      <c r="I11" s="13"/>
      <c r="J11" s="12"/>
    </row>
    <row r="12" spans="1:11">
      <c r="A12" s="13">
        <v>7</v>
      </c>
      <c r="B12" s="47" t="s">
        <v>253</v>
      </c>
      <c r="C12" s="13">
        <v>2</v>
      </c>
      <c r="D12" s="13">
        <v>4</v>
      </c>
      <c r="E12" s="13">
        <v>0</v>
      </c>
      <c r="F12" s="13">
        <f t="shared" si="2"/>
        <v>65535</v>
      </c>
      <c r="G12" s="12" t="s">
        <v>264</v>
      </c>
      <c r="H12" s="12" t="s">
        <v>254</v>
      </c>
      <c r="I12" s="13"/>
      <c r="J12" s="12"/>
    </row>
    <row r="13" spans="1:11">
      <c r="A13" s="13">
        <v>8</v>
      </c>
      <c r="B13" s="47" t="s">
        <v>255</v>
      </c>
      <c r="C13" s="13">
        <v>2</v>
      </c>
      <c r="D13" s="13">
        <v>4</v>
      </c>
      <c r="E13" s="13">
        <v>0</v>
      </c>
      <c r="F13" s="13">
        <f t="shared" si="2"/>
        <v>65535</v>
      </c>
      <c r="G13" s="12" t="s">
        <v>264</v>
      </c>
      <c r="H13" s="12" t="s">
        <v>256</v>
      </c>
      <c r="I13" s="13"/>
      <c r="J13" s="12"/>
    </row>
    <row r="14" spans="1:11">
      <c r="A14" s="13">
        <v>9</v>
      </c>
      <c r="B14" s="47" t="s">
        <v>257</v>
      </c>
      <c r="C14" s="13">
        <v>2</v>
      </c>
      <c r="D14" s="13">
        <v>4</v>
      </c>
      <c r="E14" s="13">
        <v>0</v>
      </c>
      <c r="F14" s="13">
        <f t="shared" si="2"/>
        <v>65535</v>
      </c>
      <c r="G14" s="12" t="s">
        <v>241</v>
      </c>
      <c r="H14" s="12" t="s">
        <v>258</v>
      </c>
      <c r="I14" s="13"/>
      <c r="J14" s="12" t="s">
        <v>259</v>
      </c>
    </row>
    <row r="15" spans="1:11">
      <c r="A15" s="13">
        <v>10</v>
      </c>
      <c r="B15" s="47" t="s">
        <v>260</v>
      </c>
      <c r="C15" s="13">
        <v>2</v>
      </c>
      <c r="D15" s="13">
        <v>4</v>
      </c>
      <c r="E15" s="13">
        <v>0</v>
      </c>
      <c r="F15" s="13">
        <f t="shared" si="2"/>
        <v>65535</v>
      </c>
      <c r="G15" s="12" t="s">
        <v>265</v>
      </c>
      <c r="H15" s="12" t="s">
        <v>261</v>
      </c>
      <c r="I15" s="13"/>
      <c r="J15" s="12"/>
    </row>
    <row r="16" spans="1:11">
      <c r="A16" s="13">
        <v>11</v>
      </c>
      <c r="B16" s="47" t="s">
        <v>262</v>
      </c>
      <c r="C16" s="13">
        <v>2</v>
      </c>
      <c r="D16" s="13">
        <v>4</v>
      </c>
      <c r="E16" s="13">
        <v>0</v>
      </c>
      <c r="F16" s="13">
        <f t="shared" si="0"/>
        <v>65535</v>
      </c>
      <c r="G16" s="12" t="s">
        <v>265</v>
      </c>
      <c r="H16" s="12" t="s">
        <v>263</v>
      </c>
      <c r="I16" s="13"/>
      <c r="J16" s="12"/>
    </row>
    <row r="17" spans="1:10">
      <c r="A17" s="13">
        <v>12</v>
      </c>
      <c r="B17" s="47" t="s">
        <v>266</v>
      </c>
      <c r="C17" s="13">
        <v>2</v>
      </c>
      <c r="D17" s="13">
        <v>4</v>
      </c>
      <c r="E17" s="13">
        <v>0</v>
      </c>
      <c r="F17" s="13">
        <f t="shared" ref="F17" si="3">16^D17-1</f>
        <v>65535</v>
      </c>
      <c r="G17" s="12" t="s">
        <v>66</v>
      </c>
      <c r="H17" s="12" t="s">
        <v>267</v>
      </c>
      <c r="I17" s="13"/>
      <c r="J17" s="12"/>
    </row>
    <row r="18" spans="1:10">
      <c r="A18" s="13">
        <v>13</v>
      </c>
      <c r="B18" s="47" t="s">
        <v>268</v>
      </c>
      <c r="C18" s="13">
        <v>2</v>
      </c>
      <c r="D18" s="13">
        <v>4</v>
      </c>
      <c r="E18" s="13">
        <v>0</v>
      </c>
      <c r="F18" s="13">
        <f t="shared" si="0"/>
        <v>65535</v>
      </c>
      <c r="G18" s="12" t="s">
        <v>66</v>
      </c>
      <c r="H18" s="12" t="s">
        <v>269</v>
      </c>
      <c r="I18" s="13"/>
      <c r="J18" s="12"/>
    </row>
    <row r="19" spans="1:10">
      <c r="A19" s="63">
        <v>14</v>
      </c>
      <c r="B19" s="67" t="s">
        <v>270</v>
      </c>
      <c r="C19" s="63">
        <v>2</v>
      </c>
      <c r="D19" s="63">
        <v>4</v>
      </c>
      <c r="E19" s="63">
        <v>0</v>
      </c>
      <c r="F19" s="63">
        <f t="shared" si="0"/>
        <v>65535</v>
      </c>
      <c r="G19" s="68" t="s">
        <v>95</v>
      </c>
      <c r="H19" s="69" t="s">
        <v>271</v>
      </c>
      <c r="I19" s="13">
        <v>128</v>
      </c>
      <c r="J19" s="12" t="s">
        <v>272</v>
      </c>
    </row>
    <row r="20" spans="1:10">
      <c r="A20" s="70"/>
      <c r="B20" s="71"/>
      <c r="C20" s="70"/>
      <c r="D20" s="70"/>
      <c r="E20" s="70"/>
      <c r="F20" s="70"/>
      <c r="G20" s="72"/>
      <c r="H20" s="73"/>
      <c r="I20" s="13">
        <f>I19/2</f>
        <v>64</v>
      </c>
      <c r="J20" s="12" t="s">
        <v>273</v>
      </c>
    </row>
    <row r="21" spans="1:10">
      <c r="A21" s="70"/>
      <c r="B21" s="71"/>
      <c r="C21" s="70"/>
      <c r="D21" s="70"/>
      <c r="E21" s="70"/>
      <c r="F21" s="70"/>
      <c r="G21" s="72"/>
      <c r="H21" s="73" t="s">
        <v>279</v>
      </c>
      <c r="I21" s="13">
        <f t="shared" ref="I21:I26" si="4">I20/2</f>
        <v>32</v>
      </c>
      <c r="J21" s="12" t="s">
        <v>274</v>
      </c>
    </row>
    <row r="22" spans="1:10">
      <c r="A22" s="70"/>
      <c r="B22" s="71"/>
      <c r="C22" s="70"/>
      <c r="D22" s="70"/>
      <c r="E22" s="70"/>
      <c r="F22" s="70"/>
      <c r="G22" s="72"/>
      <c r="H22" s="73" t="s">
        <v>280</v>
      </c>
      <c r="I22" s="13">
        <f t="shared" si="4"/>
        <v>16</v>
      </c>
      <c r="J22" s="12" t="s">
        <v>275</v>
      </c>
    </row>
    <row r="23" spans="1:10">
      <c r="A23" s="70"/>
      <c r="B23" s="71"/>
      <c r="C23" s="70"/>
      <c r="D23" s="70"/>
      <c r="E23" s="70"/>
      <c r="F23" s="70"/>
      <c r="G23" s="72"/>
      <c r="H23" s="73" t="s">
        <v>281</v>
      </c>
      <c r="I23" s="13">
        <f t="shared" si="4"/>
        <v>8</v>
      </c>
      <c r="J23" s="12" t="s">
        <v>276</v>
      </c>
    </row>
    <row r="24" spans="1:10">
      <c r="A24" s="70"/>
      <c r="B24" s="71"/>
      <c r="C24" s="70"/>
      <c r="D24" s="70"/>
      <c r="E24" s="70"/>
      <c r="F24" s="70"/>
      <c r="G24" s="72"/>
      <c r="H24" s="73"/>
      <c r="I24" s="13">
        <f t="shared" si="4"/>
        <v>4</v>
      </c>
      <c r="J24" s="12" t="s">
        <v>277</v>
      </c>
    </row>
    <row r="25" spans="1:10">
      <c r="A25" s="70"/>
      <c r="B25" s="71"/>
      <c r="C25" s="70"/>
      <c r="D25" s="70"/>
      <c r="E25" s="70"/>
      <c r="F25" s="70"/>
      <c r="G25" s="72"/>
      <c r="H25" s="73"/>
      <c r="I25" s="13">
        <f t="shared" si="4"/>
        <v>2</v>
      </c>
      <c r="J25" s="12" t="s">
        <v>278</v>
      </c>
    </row>
    <row r="26" spans="1:10">
      <c r="A26" s="64"/>
      <c r="B26" s="65"/>
      <c r="C26" s="64"/>
      <c r="D26" s="64"/>
      <c r="E26" s="64"/>
      <c r="F26" s="64"/>
      <c r="G26" s="81"/>
      <c r="H26" s="66"/>
      <c r="I26" s="13">
        <f t="shared" si="4"/>
        <v>1</v>
      </c>
      <c r="J26" s="12"/>
    </row>
    <row r="27" spans="1:10">
      <c r="A27" s="63">
        <v>15</v>
      </c>
      <c r="B27" s="67" t="s">
        <v>230</v>
      </c>
      <c r="C27" s="63">
        <v>2</v>
      </c>
      <c r="D27" s="63">
        <v>4</v>
      </c>
      <c r="E27" s="63">
        <v>0</v>
      </c>
      <c r="F27" s="63">
        <f>16^D27-1</f>
        <v>65535</v>
      </c>
      <c r="G27" s="68" t="s">
        <v>95</v>
      </c>
      <c r="H27" s="69" t="s">
        <v>239</v>
      </c>
      <c r="I27" s="13">
        <v>8</v>
      </c>
      <c r="J27" s="12" t="s">
        <v>302</v>
      </c>
    </row>
    <row r="28" spans="1:10">
      <c r="A28" s="70"/>
      <c r="B28" s="71"/>
      <c r="C28" s="70"/>
      <c r="D28" s="70"/>
      <c r="E28" s="70"/>
      <c r="F28" s="70"/>
      <c r="G28" s="72"/>
      <c r="H28" s="73"/>
      <c r="I28" s="13">
        <v>15</v>
      </c>
      <c r="J28" s="12" t="s">
        <v>344</v>
      </c>
    </row>
    <row r="29" spans="1:10">
      <c r="A29" s="64"/>
      <c r="B29" s="71"/>
      <c r="C29" s="70"/>
      <c r="D29" s="70"/>
      <c r="E29" s="70"/>
      <c r="F29" s="70"/>
      <c r="G29" s="72"/>
      <c r="H29" s="73"/>
      <c r="I29" s="13">
        <v>16</v>
      </c>
      <c r="J29" s="12" t="s">
        <v>345</v>
      </c>
    </row>
    <row r="30" spans="1:10">
      <c r="A30" s="63">
        <v>16</v>
      </c>
      <c r="B30" s="67" t="s">
        <v>342</v>
      </c>
      <c r="C30" s="63">
        <v>2</v>
      </c>
      <c r="D30" s="63">
        <v>4</v>
      </c>
      <c r="E30" s="63">
        <v>0</v>
      </c>
      <c r="F30" s="63">
        <f>16^D30-1</f>
        <v>65535</v>
      </c>
      <c r="G30" s="68" t="s">
        <v>95</v>
      </c>
      <c r="H30" s="69" t="s">
        <v>343</v>
      </c>
      <c r="I30" s="13">
        <v>0</v>
      </c>
      <c r="J30" s="12" t="s">
        <v>325</v>
      </c>
    </row>
    <row r="31" spans="1:10">
      <c r="A31" s="70"/>
      <c r="B31" s="71"/>
      <c r="C31" s="70"/>
      <c r="D31" s="70"/>
      <c r="E31" s="70"/>
      <c r="F31" s="70"/>
      <c r="G31" s="72"/>
      <c r="H31" s="73"/>
      <c r="I31" s="13">
        <v>17</v>
      </c>
      <c r="J31" s="12" t="s">
        <v>351</v>
      </c>
    </row>
    <row r="32" spans="1:10">
      <c r="A32" s="70"/>
      <c r="B32" s="65"/>
      <c r="C32" s="64"/>
      <c r="D32" s="64"/>
      <c r="E32" s="64"/>
      <c r="F32" s="64"/>
      <c r="G32" s="81"/>
      <c r="H32" s="66"/>
      <c r="I32" s="13">
        <v>18</v>
      </c>
      <c r="J32" s="12" t="s">
        <v>352</v>
      </c>
    </row>
    <row r="33" spans="1:10">
      <c r="A33" s="63">
        <v>17</v>
      </c>
      <c r="B33" s="67" t="s">
        <v>231</v>
      </c>
      <c r="C33" s="63">
        <v>2</v>
      </c>
      <c r="D33" s="63">
        <v>4</v>
      </c>
      <c r="E33" s="63">
        <v>0</v>
      </c>
      <c r="F33" s="63">
        <f>16^D33-1</f>
        <v>65535</v>
      </c>
      <c r="G33" s="68" t="s">
        <v>95</v>
      </c>
      <c r="H33" s="69" t="s">
        <v>240</v>
      </c>
      <c r="I33" s="13">
        <v>8</v>
      </c>
      <c r="J33" s="12" t="s">
        <v>302</v>
      </c>
    </row>
    <row r="34" spans="1:10">
      <c r="A34" s="70"/>
      <c r="B34" s="71"/>
      <c r="C34" s="70"/>
      <c r="D34" s="70"/>
      <c r="E34" s="70"/>
      <c r="F34" s="70"/>
      <c r="G34" s="72"/>
      <c r="H34" s="73"/>
      <c r="I34" s="13">
        <v>15</v>
      </c>
      <c r="J34" s="12" t="s">
        <v>344</v>
      </c>
    </row>
    <row r="35" spans="1:10">
      <c r="A35" s="75"/>
      <c r="B35" s="76"/>
      <c r="C35" s="75"/>
      <c r="D35" s="75"/>
      <c r="E35" s="75"/>
      <c r="F35" s="75"/>
      <c r="G35" s="77"/>
      <c r="H35" s="78"/>
      <c r="I35" s="16">
        <v>16</v>
      </c>
      <c r="J35" s="15" t="s">
        <v>345</v>
      </c>
    </row>
  </sheetData>
  <sheetProtection selectLockedCells="1"/>
  <phoneticPr fontId="3" type="noConversion"/>
  <pageMargins left="0.7" right="0.7" top="0.75" bottom="0.75" header="0.3" footer="0.3"/>
  <pageSetup paperSize="9"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77D07-5F7A-462C-A6F6-D843CD2F30DC}">
  <sheetPr codeName="Sheet15"/>
  <dimension ref="A1:J13"/>
  <sheetViews>
    <sheetView showGridLines="0" zoomScale="115" zoomScaleNormal="115" workbookViewId="0">
      <selection activeCell="G22" sqref="G22"/>
    </sheetView>
  </sheetViews>
  <sheetFormatPr defaultColWidth="9" defaultRowHeight="15"/>
  <cols>
    <col min="1" max="1" width="4.42578125" style="4" customWidth="1"/>
    <col min="2" max="2" width="20.5703125" style="4" bestFit="1" customWidth="1"/>
    <col min="3" max="3" width="7.7109375" style="4" bestFit="1" customWidth="1"/>
    <col min="4" max="4" width="5.7109375" style="4" bestFit="1" customWidth="1"/>
    <col min="5" max="5" width="5.85546875" style="4" bestFit="1" customWidth="1"/>
    <col min="6" max="6" width="6.7109375" style="4" bestFit="1" customWidth="1"/>
    <col min="7" max="7" width="9.140625" style="1" bestFit="1" customWidth="1"/>
    <col min="8" max="8" width="27" style="1" bestFit="1" customWidth="1"/>
    <col min="9" max="9" width="8.42578125" style="4" bestFit="1" customWidth="1"/>
    <col min="10" max="10" width="42.42578125" style="1" bestFit="1" customWidth="1"/>
    <col min="11" max="11" width="73.140625" style="1" bestFit="1" customWidth="1"/>
    <col min="12" max="16384" width="9" style="1"/>
  </cols>
  <sheetData>
    <row r="1" spans="1:10">
      <c r="A1" s="2" t="s">
        <v>294</v>
      </c>
    </row>
    <row r="2" spans="1:10">
      <c r="A2" s="2" t="s">
        <v>296</v>
      </c>
    </row>
    <row r="3" spans="1:10" ht="18.75">
      <c r="A3" s="18"/>
      <c r="B3" s="18" t="s">
        <v>0</v>
      </c>
      <c r="C3" s="18" t="s">
        <v>188</v>
      </c>
      <c r="D3" s="18" t="s">
        <v>295</v>
      </c>
      <c r="E3" s="18" t="s">
        <v>2</v>
      </c>
      <c r="F3" s="18" t="s">
        <v>3</v>
      </c>
      <c r="G3" s="19" t="s">
        <v>6</v>
      </c>
      <c r="H3" s="19" t="s">
        <v>1</v>
      </c>
      <c r="I3" s="18" t="s">
        <v>282</v>
      </c>
      <c r="J3" s="19" t="s">
        <v>4</v>
      </c>
    </row>
    <row r="4" spans="1:10">
      <c r="A4" s="21"/>
      <c r="B4" s="21"/>
      <c r="C4" s="21">
        <f>SUM(C5:C18)</f>
        <v>10</v>
      </c>
      <c r="D4" s="21">
        <f>SUM(D5:D18)</f>
        <v>20</v>
      </c>
      <c r="E4" s="21"/>
      <c r="F4" s="21"/>
      <c r="G4" s="22"/>
      <c r="H4" s="22" t="s">
        <v>70</v>
      </c>
      <c r="I4" s="21"/>
      <c r="J4" s="22"/>
    </row>
    <row r="5" spans="1:10">
      <c r="A5" s="6">
        <v>0</v>
      </c>
      <c r="B5" s="7" t="s">
        <v>283</v>
      </c>
      <c r="C5" s="6">
        <v>2</v>
      </c>
      <c r="D5" s="6">
        <v>4</v>
      </c>
      <c r="E5" s="6">
        <v>0</v>
      </c>
      <c r="F5" s="6">
        <f t="shared" ref="F5:F7" si="0">16^D5-1</f>
        <v>65535</v>
      </c>
      <c r="G5" s="60" t="s">
        <v>95</v>
      </c>
      <c r="H5" s="8" t="s">
        <v>283</v>
      </c>
      <c r="I5" s="79"/>
      <c r="J5" s="80" t="s">
        <v>285</v>
      </c>
    </row>
    <row r="6" spans="1:10">
      <c r="A6" s="13">
        <v>1</v>
      </c>
      <c r="B6" s="47" t="s">
        <v>284</v>
      </c>
      <c r="C6" s="13">
        <v>2</v>
      </c>
      <c r="D6" s="13">
        <v>4</v>
      </c>
      <c r="E6" s="13">
        <v>0</v>
      </c>
      <c r="F6" s="13">
        <f t="shared" si="0"/>
        <v>65535</v>
      </c>
      <c r="G6" s="14" t="s">
        <v>95</v>
      </c>
      <c r="H6" s="12" t="s">
        <v>284</v>
      </c>
      <c r="I6" s="64"/>
      <c r="J6" s="66"/>
    </row>
    <row r="7" spans="1:10">
      <c r="A7" s="13">
        <v>2</v>
      </c>
      <c r="B7" s="47" t="s">
        <v>286</v>
      </c>
      <c r="C7" s="13">
        <v>2</v>
      </c>
      <c r="D7" s="13">
        <v>4</v>
      </c>
      <c r="E7" s="13">
        <v>0</v>
      </c>
      <c r="F7" s="13">
        <f t="shared" si="0"/>
        <v>65535</v>
      </c>
      <c r="G7" s="12" t="s">
        <v>95</v>
      </c>
      <c r="H7" s="12" t="s">
        <v>286</v>
      </c>
      <c r="I7" s="13"/>
      <c r="J7" s="12" t="s">
        <v>287</v>
      </c>
    </row>
    <row r="8" spans="1:10">
      <c r="A8" s="63">
        <v>3</v>
      </c>
      <c r="B8" s="67" t="s">
        <v>288</v>
      </c>
      <c r="C8" s="13">
        <v>0.5</v>
      </c>
      <c r="D8" s="13">
        <v>1</v>
      </c>
      <c r="E8" s="13">
        <v>0</v>
      </c>
      <c r="F8" s="13">
        <f t="shared" ref="F8" si="1">16^D8-1</f>
        <v>15</v>
      </c>
      <c r="G8" s="14" t="s">
        <v>95</v>
      </c>
      <c r="H8" s="12" t="s">
        <v>289</v>
      </c>
      <c r="I8" s="13"/>
      <c r="J8" s="12"/>
    </row>
    <row r="9" spans="1:10">
      <c r="A9" s="70"/>
      <c r="B9" s="71"/>
      <c r="C9" s="13">
        <v>0.5</v>
      </c>
      <c r="D9" s="13">
        <v>1</v>
      </c>
      <c r="E9" s="13">
        <v>0</v>
      </c>
      <c r="F9" s="13">
        <f t="shared" ref="F9:F11" si="2">16^D9-1</f>
        <v>15</v>
      </c>
      <c r="G9" s="14" t="s">
        <v>95</v>
      </c>
      <c r="H9" s="12" t="s">
        <v>290</v>
      </c>
      <c r="I9" s="13"/>
      <c r="J9" s="12"/>
    </row>
    <row r="10" spans="1:10">
      <c r="A10" s="64"/>
      <c r="B10" s="65"/>
      <c r="C10" s="13">
        <v>1</v>
      </c>
      <c r="D10" s="13">
        <v>2</v>
      </c>
      <c r="E10" s="13">
        <v>0</v>
      </c>
      <c r="F10" s="13">
        <f t="shared" si="2"/>
        <v>255</v>
      </c>
      <c r="G10" s="14" t="s">
        <v>95</v>
      </c>
      <c r="H10" s="12" t="s">
        <v>291</v>
      </c>
      <c r="I10" s="13"/>
      <c r="J10" s="12"/>
    </row>
    <row r="11" spans="1:10">
      <c r="A11" s="63">
        <v>4</v>
      </c>
      <c r="B11" s="67" t="s">
        <v>455</v>
      </c>
      <c r="C11" s="13">
        <v>0.5</v>
      </c>
      <c r="D11" s="13">
        <v>1</v>
      </c>
      <c r="E11" s="13">
        <v>0</v>
      </c>
      <c r="F11" s="13">
        <f t="shared" si="2"/>
        <v>15</v>
      </c>
      <c r="G11" s="14" t="s">
        <v>95</v>
      </c>
      <c r="H11" s="12" t="s">
        <v>289</v>
      </c>
      <c r="I11" s="13"/>
      <c r="J11" s="12"/>
    </row>
    <row r="12" spans="1:10">
      <c r="A12" s="70"/>
      <c r="B12" s="71"/>
      <c r="C12" s="13">
        <v>0.5</v>
      </c>
      <c r="D12" s="13">
        <v>1</v>
      </c>
      <c r="E12" s="13">
        <v>0</v>
      </c>
      <c r="F12" s="13">
        <f t="shared" ref="F12:F13" si="3">16^D12-1</f>
        <v>15</v>
      </c>
      <c r="G12" s="14" t="s">
        <v>95</v>
      </c>
      <c r="H12" s="12" t="s">
        <v>290</v>
      </c>
      <c r="I12" s="13"/>
      <c r="J12" s="12"/>
    </row>
    <row r="13" spans="1:10">
      <c r="A13" s="75"/>
      <c r="B13" s="76"/>
      <c r="C13" s="16">
        <v>1</v>
      </c>
      <c r="D13" s="16">
        <v>2</v>
      </c>
      <c r="E13" s="16">
        <v>0</v>
      </c>
      <c r="F13" s="16">
        <f t="shared" si="3"/>
        <v>255</v>
      </c>
      <c r="G13" s="17" t="s">
        <v>95</v>
      </c>
      <c r="H13" s="15" t="s">
        <v>291</v>
      </c>
      <c r="I13" s="16"/>
      <c r="J13" s="15"/>
    </row>
  </sheetData>
  <sheetProtection selectLockedCells="1"/>
  <pageMargins left="0.7" right="0.7" top="0.75" bottom="0.75" header="0.3" footer="0.3"/>
  <pageSetup paperSize="9" orientation="portrait" horizontalDpi="200" verticalDpi="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86FC5-1A2C-4D7D-A678-27FBE3485DE1}">
  <sheetPr codeName="Sheet16"/>
  <dimension ref="A1:J54"/>
  <sheetViews>
    <sheetView showGridLines="0" zoomScale="70" zoomScaleNormal="70" workbookViewId="0">
      <pane ySplit="4" topLeftCell="A5" activePane="bottomLeft" state="frozen"/>
      <selection pane="bottomLeft" activeCell="L17" sqref="L17"/>
    </sheetView>
  </sheetViews>
  <sheetFormatPr defaultRowHeight="15"/>
  <cols>
    <col min="1" max="1" width="4.42578125" style="4" customWidth="1"/>
    <col min="2" max="2" width="25.5703125" style="4" customWidth="1"/>
    <col min="3" max="3" width="7.7109375" style="4" bestFit="1" customWidth="1"/>
    <col min="4" max="4" width="5.7109375" style="4" bestFit="1" customWidth="1"/>
    <col min="5" max="5" width="5.85546875" style="4" bestFit="1" customWidth="1"/>
    <col min="6" max="6" width="10.140625" style="4" customWidth="1"/>
    <col min="7" max="7" width="9.140625" style="1" bestFit="1"/>
    <col min="8" max="8" width="34" style="1" customWidth="1"/>
    <col min="9" max="9" width="8.42578125" style="4" bestFit="1" customWidth="1"/>
    <col min="10" max="10" width="42.42578125" style="1" bestFit="1" customWidth="1"/>
  </cols>
  <sheetData>
    <row r="1" spans="1:10">
      <c r="A1" s="2" t="s">
        <v>330</v>
      </c>
    </row>
    <row r="2" spans="1:10">
      <c r="A2" s="2" t="s">
        <v>331</v>
      </c>
    </row>
    <row r="3" spans="1:10" ht="18.75">
      <c r="A3" s="18"/>
      <c r="B3" s="18" t="s">
        <v>0</v>
      </c>
      <c r="C3" s="18" t="s">
        <v>188</v>
      </c>
      <c r="D3" s="18" t="s">
        <v>295</v>
      </c>
      <c r="E3" s="18" t="s">
        <v>2</v>
      </c>
      <c r="F3" s="18" t="s">
        <v>3</v>
      </c>
      <c r="G3" s="19" t="s">
        <v>6</v>
      </c>
      <c r="H3" s="19" t="s">
        <v>1</v>
      </c>
      <c r="I3" s="18" t="s">
        <v>282</v>
      </c>
      <c r="J3" s="19" t="s">
        <v>4</v>
      </c>
    </row>
    <row r="4" spans="1:10">
      <c r="A4" s="21"/>
      <c r="B4" s="21"/>
      <c r="C4" s="21">
        <f>SUM(C5:C487)</f>
        <v>66</v>
      </c>
      <c r="D4" s="21">
        <f>SUM(D5:D487)</f>
        <v>132</v>
      </c>
      <c r="E4" s="21"/>
      <c r="F4" s="21"/>
      <c r="G4" s="22"/>
      <c r="H4" s="22" t="s">
        <v>70</v>
      </c>
      <c r="I4" s="21"/>
      <c r="J4" s="22"/>
    </row>
    <row r="5" spans="1:10">
      <c r="A5" s="6">
        <v>0</v>
      </c>
      <c r="B5" s="7" t="s">
        <v>382</v>
      </c>
      <c r="C5" s="6">
        <v>2</v>
      </c>
      <c r="D5" s="6">
        <v>4</v>
      </c>
      <c r="E5" s="6">
        <v>0</v>
      </c>
      <c r="F5" s="6">
        <f t="shared" ref="F5:F10" si="0">16^D5-1</f>
        <v>65535</v>
      </c>
      <c r="G5" s="60" t="s">
        <v>95</v>
      </c>
      <c r="H5" s="8" t="s">
        <v>385</v>
      </c>
      <c r="I5" s="6"/>
      <c r="J5" s="74" t="s">
        <v>337</v>
      </c>
    </row>
    <row r="6" spans="1:10">
      <c r="A6" s="13">
        <v>1</v>
      </c>
      <c r="B6" s="47" t="s">
        <v>383</v>
      </c>
      <c r="C6" s="13">
        <v>2</v>
      </c>
      <c r="D6" s="13">
        <v>4</v>
      </c>
      <c r="E6" s="13">
        <v>0</v>
      </c>
      <c r="F6" s="13">
        <f t="shared" si="0"/>
        <v>65535</v>
      </c>
      <c r="G6" s="14" t="s">
        <v>95</v>
      </c>
      <c r="H6" s="12" t="s">
        <v>386</v>
      </c>
      <c r="I6" s="13"/>
      <c r="J6" s="87" t="s">
        <v>337</v>
      </c>
    </row>
    <row r="7" spans="1:10">
      <c r="A7" s="13">
        <v>2</v>
      </c>
      <c r="B7" s="47" t="s">
        <v>384</v>
      </c>
      <c r="C7" s="13">
        <v>2</v>
      </c>
      <c r="D7" s="13">
        <v>4</v>
      </c>
      <c r="E7" s="13">
        <v>0</v>
      </c>
      <c r="F7" s="13">
        <f t="shared" si="0"/>
        <v>65535</v>
      </c>
      <c r="G7" s="14" t="s">
        <v>95</v>
      </c>
      <c r="H7" s="12" t="s">
        <v>387</v>
      </c>
      <c r="I7" s="13"/>
      <c r="J7" s="87" t="s">
        <v>337</v>
      </c>
    </row>
    <row r="8" spans="1:10">
      <c r="A8" s="13">
        <v>3</v>
      </c>
      <c r="B8" s="47" t="s">
        <v>227</v>
      </c>
      <c r="C8" s="13">
        <v>2</v>
      </c>
      <c r="D8" s="13">
        <v>4</v>
      </c>
      <c r="E8" s="13">
        <v>0</v>
      </c>
      <c r="F8" s="13">
        <f t="shared" si="0"/>
        <v>65535</v>
      </c>
      <c r="G8" s="14" t="s">
        <v>66</v>
      </c>
      <c r="H8" s="12" t="s">
        <v>234</v>
      </c>
      <c r="I8" s="13"/>
      <c r="J8" s="12"/>
    </row>
    <row r="9" spans="1:10">
      <c r="A9" s="70">
        <v>4</v>
      </c>
      <c r="B9" s="47" t="s">
        <v>235</v>
      </c>
      <c r="C9" s="13">
        <v>2</v>
      </c>
      <c r="D9" s="13">
        <v>4</v>
      </c>
      <c r="E9" s="13">
        <v>0</v>
      </c>
      <c r="F9" s="13">
        <f t="shared" si="0"/>
        <v>65535</v>
      </c>
      <c r="G9" s="14" t="s">
        <v>95</v>
      </c>
      <c r="H9" s="12" t="s">
        <v>336</v>
      </c>
      <c r="I9" s="13"/>
      <c r="J9" s="12" t="s">
        <v>348</v>
      </c>
    </row>
    <row r="10" spans="1:10">
      <c r="A10" s="63">
        <v>5</v>
      </c>
      <c r="B10" s="67" t="s">
        <v>228</v>
      </c>
      <c r="C10" s="63">
        <v>2</v>
      </c>
      <c r="D10" s="63">
        <v>4</v>
      </c>
      <c r="E10" s="63">
        <v>0</v>
      </c>
      <c r="F10" s="63">
        <f t="shared" si="0"/>
        <v>65535</v>
      </c>
      <c r="G10" s="68" t="s">
        <v>95</v>
      </c>
      <c r="H10" s="69" t="s">
        <v>237</v>
      </c>
      <c r="I10" s="13">
        <v>9</v>
      </c>
      <c r="J10" s="12" t="s">
        <v>334</v>
      </c>
    </row>
    <row r="11" spans="1:10">
      <c r="A11" s="70"/>
      <c r="B11" s="65"/>
      <c r="C11" s="70"/>
      <c r="D11" s="70"/>
      <c r="E11" s="70"/>
      <c r="F11" s="70"/>
      <c r="G11" s="72"/>
      <c r="H11" s="66"/>
      <c r="I11" s="13">
        <v>10</v>
      </c>
      <c r="J11" s="12" t="s">
        <v>335</v>
      </c>
    </row>
    <row r="12" spans="1:10">
      <c r="A12" s="63">
        <v>6</v>
      </c>
      <c r="B12" s="67" t="s">
        <v>229</v>
      </c>
      <c r="C12" s="63">
        <v>2</v>
      </c>
      <c r="D12" s="63">
        <v>4</v>
      </c>
      <c r="E12" s="63">
        <v>0</v>
      </c>
      <c r="F12" s="63">
        <f>16^D12-1</f>
        <v>65535</v>
      </c>
      <c r="G12" s="68" t="s">
        <v>95</v>
      </c>
      <c r="H12" s="69" t="s">
        <v>238</v>
      </c>
      <c r="I12" s="13">
        <v>11</v>
      </c>
      <c r="J12" s="12" t="s">
        <v>338</v>
      </c>
    </row>
    <row r="13" spans="1:10">
      <c r="A13" s="70"/>
      <c r="B13" s="71"/>
      <c r="C13" s="70"/>
      <c r="D13" s="70"/>
      <c r="E13" s="70"/>
      <c r="F13" s="70"/>
      <c r="G13" s="72"/>
      <c r="H13" s="73"/>
      <c r="I13" s="13">
        <v>12</v>
      </c>
      <c r="J13" s="12" t="s">
        <v>339</v>
      </c>
    </row>
    <row r="14" spans="1:10">
      <c r="A14" s="70"/>
      <c r="B14" s="71"/>
      <c r="C14" s="70"/>
      <c r="D14" s="70"/>
      <c r="E14" s="70"/>
      <c r="F14" s="70"/>
      <c r="G14" s="72"/>
      <c r="H14" s="73"/>
      <c r="I14" s="13">
        <v>13</v>
      </c>
      <c r="J14" s="12" t="s">
        <v>340</v>
      </c>
    </row>
    <row r="15" spans="1:10">
      <c r="A15" s="63">
        <v>7</v>
      </c>
      <c r="B15" s="67" t="s">
        <v>355</v>
      </c>
      <c r="C15" s="63">
        <v>2</v>
      </c>
      <c r="D15" s="63">
        <v>4</v>
      </c>
      <c r="E15" s="63">
        <v>0</v>
      </c>
      <c r="F15" s="63">
        <f t="shared" ref="F15:F16" si="1">16^D15-1</f>
        <v>65535</v>
      </c>
      <c r="G15" s="68" t="s">
        <v>95</v>
      </c>
      <c r="H15" s="69" t="s">
        <v>357</v>
      </c>
      <c r="I15" s="13" t="s">
        <v>346</v>
      </c>
      <c r="J15" s="12" t="s">
        <v>347</v>
      </c>
    </row>
    <row r="16" spans="1:10">
      <c r="A16" s="13">
        <v>8</v>
      </c>
      <c r="B16" s="67" t="s">
        <v>356</v>
      </c>
      <c r="C16" s="63">
        <v>2</v>
      </c>
      <c r="D16" s="63">
        <v>4</v>
      </c>
      <c r="E16" s="63">
        <v>0</v>
      </c>
      <c r="F16" s="63">
        <f t="shared" si="1"/>
        <v>65535</v>
      </c>
      <c r="G16" s="68" t="s">
        <v>95</v>
      </c>
      <c r="H16" s="69" t="s">
        <v>358</v>
      </c>
      <c r="I16" s="13" t="s">
        <v>346</v>
      </c>
      <c r="J16" s="12" t="s">
        <v>347</v>
      </c>
    </row>
    <row r="17" spans="1:10">
      <c r="A17" s="63">
        <v>9</v>
      </c>
      <c r="B17" s="47" t="s">
        <v>232</v>
      </c>
      <c r="C17" s="13">
        <v>2</v>
      </c>
      <c r="D17" s="13">
        <v>4</v>
      </c>
      <c r="E17" s="13">
        <v>0</v>
      </c>
      <c r="F17" s="13">
        <f>16^D17-1</f>
        <v>65535</v>
      </c>
      <c r="G17" s="12" t="s">
        <v>359</v>
      </c>
      <c r="H17" s="12" t="s">
        <v>242</v>
      </c>
      <c r="I17" s="13"/>
      <c r="J17" s="12"/>
    </row>
    <row r="18" spans="1:10">
      <c r="A18" s="63">
        <v>10</v>
      </c>
      <c r="B18" s="67" t="s">
        <v>233</v>
      </c>
      <c r="C18" s="63">
        <v>2</v>
      </c>
      <c r="D18" s="63">
        <v>4</v>
      </c>
      <c r="E18" s="63">
        <v>0</v>
      </c>
      <c r="F18" s="63">
        <f>16^D18-1</f>
        <v>65535</v>
      </c>
      <c r="G18" s="69" t="s">
        <v>360</v>
      </c>
      <c r="H18" s="69" t="s">
        <v>244</v>
      </c>
      <c r="I18" s="63"/>
      <c r="J18" s="69"/>
    </row>
    <row r="19" spans="1:10">
      <c r="A19" s="13">
        <v>11</v>
      </c>
      <c r="B19" s="47" t="s">
        <v>379</v>
      </c>
      <c r="C19" s="13">
        <v>2</v>
      </c>
      <c r="D19" s="13">
        <v>4</v>
      </c>
      <c r="E19" s="13">
        <v>0</v>
      </c>
      <c r="F19" s="13">
        <f t="shared" ref="F19:F33" si="2">16^D19-1</f>
        <v>65535</v>
      </c>
      <c r="G19" s="14" t="s">
        <v>95</v>
      </c>
      <c r="H19" s="12" t="s">
        <v>388</v>
      </c>
      <c r="I19" s="13"/>
      <c r="J19" s="87" t="s">
        <v>251</v>
      </c>
    </row>
    <row r="20" spans="1:10">
      <c r="A20" s="64">
        <v>12</v>
      </c>
      <c r="B20" s="65" t="s">
        <v>380</v>
      </c>
      <c r="C20" s="64">
        <v>2</v>
      </c>
      <c r="D20" s="64">
        <v>4</v>
      </c>
      <c r="E20" s="64">
        <v>0</v>
      </c>
      <c r="F20" s="64">
        <f t="shared" si="2"/>
        <v>65535</v>
      </c>
      <c r="G20" s="81" t="s">
        <v>95</v>
      </c>
      <c r="H20" s="66" t="s">
        <v>389</v>
      </c>
      <c r="I20" s="64"/>
      <c r="J20" s="94" t="s">
        <v>251</v>
      </c>
    </row>
    <row r="21" spans="1:10">
      <c r="A21" s="13">
        <v>13</v>
      </c>
      <c r="B21" s="89" t="s">
        <v>381</v>
      </c>
      <c r="C21" s="90">
        <v>2</v>
      </c>
      <c r="D21" s="90">
        <v>4</v>
      </c>
      <c r="E21" s="90">
        <v>0</v>
      </c>
      <c r="F21" s="90">
        <f t="shared" si="2"/>
        <v>65535</v>
      </c>
      <c r="G21" s="91" t="s">
        <v>95</v>
      </c>
      <c r="H21" s="92" t="s">
        <v>390</v>
      </c>
      <c r="I21" s="90"/>
      <c r="J21" s="93" t="s">
        <v>251</v>
      </c>
    </row>
    <row r="22" spans="1:10">
      <c r="A22" s="13">
        <v>14</v>
      </c>
      <c r="B22" s="47" t="s">
        <v>246</v>
      </c>
      <c r="C22" s="13">
        <v>2</v>
      </c>
      <c r="D22" s="13">
        <v>4</v>
      </c>
      <c r="E22" s="13">
        <v>0</v>
      </c>
      <c r="F22" s="13">
        <f t="shared" si="2"/>
        <v>65535</v>
      </c>
      <c r="G22" s="12" t="s">
        <v>243</v>
      </c>
      <c r="H22" s="12" t="s">
        <v>248</v>
      </c>
      <c r="I22" s="13"/>
      <c r="J22" s="12"/>
    </row>
    <row r="23" spans="1:10">
      <c r="A23" s="13">
        <v>15</v>
      </c>
      <c r="B23" s="47" t="s">
        <v>245</v>
      </c>
      <c r="C23" s="13">
        <v>2</v>
      </c>
      <c r="D23" s="13">
        <v>4</v>
      </c>
      <c r="E23" s="13">
        <v>0</v>
      </c>
      <c r="F23" s="13">
        <f t="shared" si="2"/>
        <v>65535</v>
      </c>
      <c r="G23" s="12" t="s">
        <v>243</v>
      </c>
      <c r="H23" s="12" t="s">
        <v>249</v>
      </c>
      <c r="I23" s="13"/>
      <c r="J23" s="12"/>
    </row>
    <row r="24" spans="1:10">
      <c r="A24" s="13">
        <v>16</v>
      </c>
      <c r="B24" s="47" t="s">
        <v>247</v>
      </c>
      <c r="C24" s="13">
        <v>2</v>
      </c>
      <c r="D24" s="13">
        <v>4</v>
      </c>
      <c r="E24" s="13">
        <v>0</v>
      </c>
      <c r="F24" s="13">
        <f t="shared" si="2"/>
        <v>65535</v>
      </c>
      <c r="G24" s="12" t="s">
        <v>243</v>
      </c>
      <c r="H24" s="12" t="s">
        <v>250</v>
      </c>
      <c r="I24" s="13"/>
      <c r="J24" s="12"/>
    </row>
    <row r="25" spans="1:10">
      <c r="A25" s="13">
        <v>17</v>
      </c>
      <c r="B25" s="47" t="s">
        <v>252</v>
      </c>
      <c r="C25" s="13">
        <v>2</v>
      </c>
      <c r="D25" s="13">
        <v>4</v>
      </c>
      <c r="E25" s="13">
        <v>0</v>
      </c>
      <c r="F25" s="13">
        <f t="shared" si="2"/>
        <v>65535</v>
      </c>
      <c r="G25" s="12" t="s">
        <v>243</v>
      </c>
      <c r="H25" s="12" t="s">
        <v>252</v>
      </c>
      <c r="I25" s="13"/>
      <c r="J25" s="12"/>
    </row>
    <row r="26" spans="1:10">
      <c r="A26" s="13">
        <v>18</v>
      </c>
      <c r="B26" s="47" t="s">
        <v>253</v>
      </c>
      <c r="C26" s="13">
        <v>2</v>
      </c>
      <c r="D26" s="13">
        <v>4</v>
      </c>
      <c r="E26" s="13">
        <v>0</v>
      </c>
      <c r="F26" s="13">
        <f t="shared" si="2"/>
        <v>65535</v>
      </c>
      <c r="G26" s="12" t="s">
        <v>264</v>
      </c>
      <c r="H26" s="12" t="s">
        <v>254</v>
      </c>
      <c r="I26" s="13"/>
      <c r="J26" s="12"/>
    </row>
    <row r="27" spans="1:10">
      <c r="A27" s="13">
        <v>19</v>
      </c>
      <c r="B27" s="47" t="s">
        <v>255</v>
      </c>
      <c r="C27" s="13">
        <v>2</v>
      </c>
      <c r="D27" s="13">
        <v>4</v>
      </c>
      <c r="E27" s="13">
        <v>0</v>
      </c>
      <c r="F27" s="13">
        <f t="shared" si="2"/>
        <v>65535</v>
      </c>
      <c r="G27" s="12" t="s">
        <v>264</v>
      </c>
      <c r="H27" s="12" t="s">
        <v>256</v>
      </c>
      <c r="I27" s="13"/>
      <c r="J27" s="12"/>
    </row>
    <row r="28" spans="1:10">
      <c r="A28" s="13">
        <v>20</v>
      </c>
      <c r="B28" s="47" t="s">
        <v>257</v>
      </c>
      <c r="C28" s="13">
        <v>2</v>
      </c>
      <c r="D28" s="13">
        <v>4</v>
      </c>
      <c r="E28" s="13">
        <v>0</v>
      </c>
      <c r="F28" s="13">
        <f t="shared" si="2"/>
        <v>65535</v>
      </c>
      <c r="G28" s="12" t="s">
        <v>241</v>
      </c>
      <c r="H28" s="12" t="s">
        <v>258</v>
      </c>
      <c r="I28" s="13"/>
      <c r="J28" s="12" t="s">
        <v>259</v>
      </c>
    </row>
    <row r="29" spans="1:10">
      <c r="A29" s="13">
        <v>21</v>
      </c>
      <c r="B29" s="47" t="s">
        <v>260</v>
      </c>
      <c r="C29" s="13">
        <v>2</v>
      </c>
      <c r="D29" s="13">
        <v>4</v>
      </c>
      <c r="E29" s="13">
        <v>0</v>
      </c>
      <c r="F29" s="13">
        <f t="shared" si="2"/>
        <v>65535</v>
      </c>
      <c r="G29" s="12" t="s">
        <v>265</v>
      </c>
      <c r="H29" s="12" t="s">
        <v>261</v>
      </c>
      <c r="I29" s="13"/>
      <c r="J29" s="12"/>
    </row>
    <row r="30" spans="1:10">
      <c r="A30" s="13">
        <v>22</v>
      </c>
      <c r="B30" s="47" t="s">
        <v>262</v>
      </c>
      <c r="C30" s="13">
        <v>2</v>
      </c>
      <c r="D30" s="13">
        <v>4</v>
      </c>
      <c r="E30" s="13">
        <v>0</v>
      </c>
      <c r="F30" s="13">
        <f t="shared" si="2"/>
        <v>65535</v>
      </c>
      <c r="G30" s="12" t="s">
        <v>265</v>
      </c>
      <c r="H30" s="12" t="s">
        <v>263</v>
      </c>
      <c r="I30" s="13"/>
      <c r="J30" s="12"/>
    </row>
    <row r="31" spans="1:10">
      <c r="A31" s="13">
        <v>23</v>
      </c>
      <c r="B31" s="47" t="s">
        <v>266</v>
      </c>
      <c r="C31" s="13">
        <v>2</v>
      </c>
      <c r="D31" s="13">
        <v>4</v>
      </c>
      <c r="E31" s="13">
        <v>0</v>
      </c>
      <c r="F31" s="13">
        <f t="shared" si="2"/>
        <v>65535</v>
      </c>
      <c r="G31" s="12" t="s">
        <v>66</v>
      </c>
      <c r="H31" s="12" t="s">
        <v>267</v>
      </c>
      <c r="I31" s="13"/>
      <c r="J31" s="12"/>
    </row>
    <row r="32" spans="1:10">
      <c r="A32" s="13">
        <v>24</v>
      </c>
      <c r="B32" s="47" t="s">
        <v>268</v>
      </c>
      <c r="C32" s="13">
        <v>2</v>
      </c>
      <c r="D32" s="13">
        <v>4</v>
      </c>
      <c r="E32" s="13">
        <v>0</v>
      </c>
      <c r="F32" s="13">
        <f t="shared" si="2"/>
        <v>65535</v>
      </c>
      <c r="G32" s="12" t="s">
        <v>66</v>
      </c>
      <c r="H32" s="12" t="s">
        <v>269</v>
      </c>
      <c r="I32" s="13"/>
      <c r="J32" s="12"/>
    </row>
    <row r="33" spans="1:10">
      <c r="A33" s="63">
        <v>25</v>
      </c>
      <c r="B33" s="67" t="s">
        <v>270</v>
      </c>
      <c r="C33" s="63">
        <v>2</v>
      </c>
      <c r="D33" s="63">
        <v>4</v>
      </c>
      <c r="E33" s="63">
        <v>0</v>
      </c>
      <c r="F33" s="63">
        <f t="shared" si="2"/>
        <v>65535</v>
      </c>
      <c r="G33" s="68" t="s">
        <v>95</v>
      </c>
      <c r="H33" s="69" t="s">
        <v>271</v>
      </c>
      <c r="I33" s="13">
        <v>128</v>
      </c>
      <c r="J33" s="12" t="s">
        <v>272</v>
      </c>
    </row>
    <row r="34" spans="1:10">
      <c r="A34" s="70"/>
      <c r="B34" s="71"/>
      <c r="C34" s="70"/>
      <c r="D34" s="70"/>
      <c r="E34" s="70"/>
      <c r="F34" s="70"/>
      <c r="G34" s="72"/>
      <c r="H34" s="73"/>
      <c r="I34" s="13">
        <f>I33/2</f>
        <v>64</v>
      </c>
      <c r="J34" s="12" t="s">
        <v>273</v>
      </c>
    </row>
    <row r="35" spans="1:10">
      <c r="A35" s="70"/>
      <c r="B35" s="71"/>
      <c r="C35" s="70"/>
      <c r="D35" s="70"/>
      <c r="E35" s="70"/>
      <c r="F35" s="70"/>
      <c r="G35" s="72"/>
      <c r="H35" s="73" t="s">
        <v>279</v>
      </c>
      <c r="I35" s="13">
        <f t="shared" ref="I35:I40" si="3">I34/2</f>
        <v>32</v>
      </c>
      <c r="J35" s="12" t="s">
        <v>274</v>
      </c>
    </row>
    <row r="36" spans="1:10">
      <c r="A36" s="70"/>
      <c r="B36" s="71"/>
      <c r="C36" s="70"/>
      <c r="D36" s="70"/>
      <c r="E36" s="70"/>
      <c r="F36" s="70"/>
      <c r="G36" s="72"/>
      <c r="H36" s="73" t="s">
        <v>280</v>
      </c>
      <c r="I36" s="13">
        <f t="shared" si="3"/>
        <v>16</v>
      </c>
      <c r="J36" s="12" t="s">
        <v>275</v>
      </c>
    </row>
    <row r="37" spans="1:10">
      <c r="A37" s="70"/>
      <c r="B37" s="71"/>
      <c r="C37" s="70"/>
      <c r="D37" s="70"/>
      <c r="E37" s="70"/>
      <c r="F37" s="70"/>
      <c r="G37" s="72"/>
      <c r="H37" s="73" t="s">
        <v>281</v>
      </c>
      <c r="I37" s="13">
        <f t="shared" si="3"/>
        <v>8</v>
      </c>
      <c r="J37" s="12" t="s">
        <v>276</v>
      </c>
    </row>
    <row r="38" spans="1:10">
      <c r="A38" s="70"/>
      <c r="B38" s="71"/>
      <c r="C38" s="70"/>
      <c r="D38" s="70"/>
      <c r="E38" s="70"/>
      <c r="F38" s="70"/>
      <c r="G38" s="72"/>
      <c r="H38" s="73"/>
      <c r="I38" s="13">
        <f t="shared" si="3"/>
        <v>4</v>
      </c>
      <c r="J38" s="12" t="s">
        <v>277</v>
      </c>
    </row>
    <row r="39" spans="1:10">
      <c r="A39" s="70"/>
      <c r="B39" s="71"/>
      <c r="C39" s="70"/>
      <c r="D39" s="70"/>
      <c r="E39" s="70"/>
      <c r="F39" s="70"/>
      <c r="G39" s="72"/>
      <c r="H39" s="73"/>
      <c r="I39" s="13">
        <f t="shared" si="3"/>
        <v>2</v>
      </c>
      <c r="J39" s="12" t="s">
        <v>278</v>
      </c>
    </row>
    <row r="40" spans="1:10">
      <c r="A40" s="64"/>
      <c r="B40" s="65"/>
      <c r="C40" s="64"/>
      <c r="D40" s="64"/>
      <c r="E40" s="64"/>
      <c r="F40" s="64"/>
      <c r="G40" s="81"/>
      <c r="H40" s="66"/>
      <c r="I40" s="13">
        <f t="shared" si="3"/>
        <v>1</v>
      </c>
      <c r="J40" s="12"/>
    </row>
    <row r="41" spans="1:10">
      <c r="A41" s="63">
        <v>26</v>
      </c>
      <c r="B41" s="67" t="s">
        <v>230</v>
      </c>
      <c r="C41" s="63">
        <v>2</v>
      </c>
      <c r="D41" s="63">
        <v>4</v>
      </c>
      <c r="E41" s="63">
        <v>0</v>
      </c>
      <c r="F41" s="63">
        <f>16^D41-1</f>
        <v>65535</v>
      </c>
      <c r="G41" s="68" t="s">
        <v>95</v>
      </c>
      <c r="H41" s="69" t="s">
        <v>239</v>
      </c>
      <c r="I41" s="13">
        <v>8</v>
      </c>
      <c r="J41" s="12" t="s">
        <v>302</v>
      </c>
    </row>
    <row r="42" spans="1:10">
      <c r="A42" s="70"/>
      <c r="B42" s="71"/>
      <c r="C42" s="70"/>
      <c r="D42" s="70"/>
      <c r="E42" s="70"/>
      <c r="F42" s="70"/>
      <c r="G42" s="72"/>
      <c r="H42" s="73"/>
      <c r="I42" s="13">
        <v>15</v>
      </c>
      <c r="J42" s="12" t="s">
        <v>344</v>
      </c>
    </row>
    <row r="43" spans="1:10">
      <c r="A43" s="64"/>
      <c r="B43" s="71"/>
      <c r="C43" s="70"/>
      <c r="D43" s="70"/>
      <c r="E43" s="70"/>
      <c r="F43" s="70"/>
      <c r="G43" s="72"/>
      <c r="H43" s="73"/>
      <c r="I43" s="13">
        <v>16</v>
      </c>
      <c r="J43" s="12" t="s">
        <v>345</v>
      </c>
    </row>
    <row r="44" spans="1:10">
      <c r="A44" s="63">
        <v>27</v>
      </c>
      <c r="B44" s="67" t="s">
        <v>342</v>
      </c>
      <c r="C44" s="63">
        <v>2</v>
      </c>
      <c r="D44" s="63">
        <v>4</v>
      </c>
      <c r="E44" s="63">
        <v>0</v>
      </c>
      <c r="F44" s="63">
        <f>16^D44-1</f>
        <v>65535</v>
      </c>
      <c r="G44" s="68" t="s">
        <v>95</v>
      </c>
      <c r="H44" s="69" t="s">
        <v>343</v>
      </c>
      <c r="I44" s="13">
        <v>0</v>
      </c>
      <c r="J44" s="12" t="s">
        <v>325</v>
      </c>
    </row>
    <row r="45" spans="1:10">
      <c r="A45" s="70"/>
      <c r="B45" s="71"/>
      <c r="C45" s="70"/>
      <c r="D45" s="70"/>
      <c r="E45" s="70"/>
      <c r="F45" s="70"/>
      <c r="G45" s="72"/>
      <c r="H45" s="73"/>
      <c r="I45" s="13">
        <v>17</v>
      </c>
      <c r="J45" s="12" t="s">
        <v>351</v>
      </c>
    </row>
    <row r="46" spans="1:10">
      <c r="A46" s="70"/>
      <c r="B46" s="65"/>
      <c r="C46" s="64"/>
      <c r="D46" s="64"/>
      <c r="E46" s="64"/>
      <c r="F46" s="64"/>
      <c r="G46" s="81"/>
      <c r="H46" s="66"/>
      <c r="I46" s="13">
        <v>18</v>
      </c>
      <c r="J46" s="12" t="s">
        <v>352</v>
      </c>
    </row>
    <row r="47" spans="1:10">
      <c r="A47" s="63">
        <v>28</v>
      </c>
      <c r="B47" s="67" t="s">
        <v>231</v>
      </c>
      <c r="C47" s="63">
        <v>2</v>
      </c>
      <c r="D47" s="63">
        <v>4</v>
      </c>
      <c r="E47" s="63">
        <v>0</v>
      </c>
      <c r="F47" s="63">
        <f>16^D47-1</f>
        <v>65535</v>
      </c>
      <c r="G47" s="68" t="s">
        <v>95</v>
      </c>
      <c r="H47" s="69" t="s">
        <v>240</v>
      </c>
      <c r="I47" s="13">
        <v>8</v>
      </c>
      <c r="J47" s="12" t="s">
        <v>302</v>
      </c>
    </row>
    <row r="48" spans="1:10">
      <c r="A48" s="70"/>
      <c r="B48" s="71"/>
      <c r="C48" s="70"/>
      <c r="D48" s="70"/>
      <c r="E48" s="70"/>
      <c r="F48" s="70"/>
      <c r="G48" s="72"/>
      <c r="H48" s="73"/>
      <c r="I48" s="63">
        <v>15</v>
      </c>
      <c r="J48" s="69" t="s">
        <v>344</v>
      </c>
    </row>
    <row r="49" spans="1:10">
      <c r="A49" s="13">
        <v>29</v>
      </c>
      <c r="B49" s="47" t="s">
        <v>283</v>
      </c>
      <c r="C49" s="13">
        <v>2</v>
      </c>
      <c r="D49" s="13">
        <v>4</v>
      </c>
      <c r="E49" s="13">
        <v>0</v>
      </c>
      <c r="F49" s="13">
        <f t="shared" ref="F49:F54" si="4">16^D49-1</f>
        <v>65535</v>
      </c>
      <c r="G49" s="14" t="s">
        <v>95</v>
      </c>
      <c r="H49" s="12" t="s">
        <v>283</v>
      </c>
      <c r="I49" s="13"/>
      <c r="J49" s="87" t="s">
        <v>285</v>
      </c>
    </row>
    <row r="50" spans="1:10">
      <c r="A50" s="64">
        <v>30</v>
      </c>
      <c r="B50" s="65" t="s">
        <v>284</v>
      </c>
      <c r="C50" s="64">
        <v>2</v>
      </c>
      <c r="D50" s="64">
        <v>4</v>
      </c>
      <c r="E50" s="64">
        <v>0</v>
      </c>
      <c r="F50" s="64">
        <f t="shared" si="4"/>
        <v>65535</v>
      </c>
      <c r="G50" s="81" t="s">
        <v>95</v>
      </c>
      <c r="H50" s="66" t="s">
        <v>284</v>
      </c>
      <c r="I50" s="64"/>
      <c r="J50" s="66"/>
    </row>
    <row r="51" spans="1:10">
      <c r="A51" s="13">
        <v>31</v>
      </c>
      <c r="B51" s="47" t="s">
        <v>286</v>
      </c>
      <c r="C51" s="13">
        <v>2</v>
      </c>
      <c r="D51" s="13">
        <v>4</v>
      </c>
      <c r="E51" s="13">
        <v>0</v>
      </c>
      <c r="F51" s="13">
        <f t="shared" si="4"/>
        <v>65535</v>
      </c>
      <c r="G51" s="12" t="s">
        <v>95</v>
      </c>
      <c r="H51" s="12" t="s">
        <v>286</v>
      </c>
      <c r="I51" s="13"/>
      <c r="J51" s="12" t="s">
        <v>287</v>
      </c>
    </row>
    <row r="52" spans="1:10">
      <c r="A52" s="63">
        <v>32</v>
      </c>
      <c r="B52" s="67" t="s">
        <v>288</v>
      </c>
      <c r="C52" s="13">
        <v>0.5</v>
      </c>
      <c r="D52" s="13">
        <v>1</v>
      </c>
      <c r="E52" s="13">
        <v>0</v>
      </c>
      <c r="F52" s="13">
        <f t="shared" si="4"/>
        <v>15</v>
      </c>
      <c r="G52" s="14" t="s">
        <v>95</v>
      </c>
      <c r="H52" s="12" t="s">
        <v>289</v>
      </c>
      <c r="I52" s="13"/>
      <c r="J52" s="12"/>
    </row>
    <row r="53" spans="1:10">
      <c r="A53" s="70"/>
      <c r="B53" s="71"/>
      <c r="C53" s="13">
        <v>0.5</v>
      </c>
      <c r="D53" s="13">
        <v>1</v>
      </c>
      <c r="E53" s="13">
        <v>0</v>
      </c>
      <c r="F53" s="13">
        <f t="shared" si="4"/>
        <v>15</v>
      </c>
      <c r="G53" s="14" t="s">
        <v>95</v>
      </c>
      <c r="H53" s="12" t="s">
        <v>290</v>
      </c>
      <c r="I53" s="13"/>
      <c r="J53" s="12"/>
    </row>
    <row r="54" spans="1:10">
      <c r="A54" s="75"/>
      <c r="B54" s="76"/>
      <c r="C54" s="16">
        <v>1</v>
      </c>
      <c r="D54" s="16">
        <v>2</v>
      </c>
      <c r="E54" s="16">
        <v>0</v>
      </c>
      <c r="F54" s="16">
        <f t="shared" si="4"/>
        <v>255</v>
      </c>
      <c r="G54" s="17" t="s">
        <v>95</v>
      </c>
      <c r="H54" s="15" t="s">
        <v>291</v>
      </c>
      <c r="I54" s="16"/>
      <c r="J54" s="15"/>
    </row>
  </sheetData>
  <pageMargins left="0.7" right="0.7" top="0.75" bottom="0.75" header="0.3" footer="0.3"/>
  <drawing r:id="rId1"/>
  <legacyDrawing r:id="rId2"/>
  <controls>
    <mc:AlternateContent xmlns:mc="http://schemas.openxmlformats.org/markup-compatibility/2006">
      <mc:Choice Requires="x14">
        <control shapeId="24577" r:id="rId3" name="CommandButton1">
          <controlPr defaultSize="0" autoLine="0" r:id="rId4">
            <anchor moveWithCells="1">
              <from>
                <xdr:col>7</xdr:col>
                <xdr:colOff>323850</xdr:colOff>
                <xdr:row>0</xdr:row>
                <xdr:rowOff>38100</xdr:rowOff>
              </from>
              <to>
                <xdr:col>7</xdr:col>
                <xdr:colOff>1885950</xdr:colOff>
                <xdr:row>1</xdr:row>
                <xdr:rowOff>180975</xdr:rowOff>
              </to>
            </anchor>
          </controlPr>
        </control>
      </mc:Choice>
      <mc:Fallback>
        <control shapeId="24577" r:id="rId3"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CE6A6-3B9C-4BF1-AAE6-0E2315FD74A2}">
  <sheetPr codeName="Sheet18"/>
  <dimension ref="A1:K65"/>
  <sheetViews>
    <sheetView showGridLines="0" zoomScale="85" zoomScaleNormal="85" workbookViewId="0">
      <selection activeCell="J31" sqref="J2:K31"/>
    </sheetView>
  </sheetViews>
  <sheetFormatPr defaultColWidth="9" defaultRowHeight="15"/>
  <cols>
    <col min="1" max="1" width="9" style="4"/>
    <col min="2" max="2" width="19.28515625" style="4" customWidth="1"/>
    <col min="3" max="3" width="7.7109375" style="4" bestFit="1" customWidth="1"/>
    <col min="4" max="4" width="5.7109375" style="4" bestFit="1" customWidth="1"/>
    <col min="5" max="6" width="9" style="4"/>
    <col min="7" max="7" width="9" style="1"/>
    <col min="8" max="8" width="28.85546875" style="1" bestFit="1" customWidth="1"/>
    <col min="9" max="9" width="7.7109375" style="4" bestFit="1" customWidth="1"/>
    <col min="10" max="10" width="55.28515625" style="1" bestFit="1" customWidth="1"/>
    <col min="11" max="11" width="95.42578125" style="1" bestFit="1" customWidth="1"/>
    <col min="12" max="16384" width="9" style="1"/>
  </cols>
  <sheetData>
    <row r="1" spans="1:11">
      <c r="A1" s="2" t="s">
        <v>409</v>
      </c>
    </row>
    <row r="2" spans="1:11">
      <c r="A2" s="2" t="s">
        <v>297</v>
      </c>
    </row>
    <row r="3" spans="1:11" ht="18.75">
      <c r="A3" s="18"/>
      <c r="B3" s="18" t="s">
        <v>0</v>
      </c>
      <c r="C3" s="18" t="s">
        <v>188</v>
      </c>
      <c r="D3" s="18" t="s">
        <v>295</v>
      </c>
      <c r="E3" s="18" t="s">
        <v>2</v>
      </c>
      <c r="F3" s="18" t="s">
        <v>3</v>
      </c>
      <c r="G3" s="19" t="s">
        <v>6</v>
      </c>
      <c r="H3" s="19" t="s">
        <v>1</v>
      </c>
      <c r="I3" s="18" t="s">
        <v>282</v>
      </c>
      <c r="J3" s="19" t="s">
        <v>4</v>
      </c>
    </row>
    <row r="4" spans="1:11">
      <c r="A4" s="21"/>
      <c r="B4" s="21"/>
      <c r="C4" s="21">
        <f>SUM(C5:C62)</f>
        <v>58</v>
      </c>
      <c r="D4" s="21">
        <f>SUM(D5:D62)</f>
        <v>116</v>
      </c>
      <c r="E4" s="21"/>
      <c r="F4" s="21"/>
      <c r="G4" s="22"/>
      <c r="H4" s="22" t="s">
        <v>70</v>
      </c>
      <c r="I4" s="21"/>
      <c r="J4" s="22"/>
    </row>
    <row r="5" spans="1:11">
      <c r="A5" s="6">
        <v>0</v>
      </c>
      <c r="B5" s="7" t="str">
        <f xml:space="preserve"> CONCATENATE("Item ",A5)</f>
        <v>Item 0</v>
      </c>
      <c r="C5" s="6">
        <f t="shared" ref="C5:C36" si="0">D5/2</f>
        <v>1</v>
      </c>
      <c r="D5" s="6">
        <v>2</v>
      </c>
      <c r="E5" s="6">
        <v>0</v>
      </c>
      <c r="F5" s="6">
        <f t="shared" ref="F5:F47" si="1">16^D5-1</f>
        <v>255</v>
      </c>
      <c r="G5" s="60" t="s">
        <v>95</v>
      </c>
      <c r="H5" s="8" t="str">
        <f xml:space="preserve"> CONCATENATE("Value ",A5)</f>
        <v>Value 0</v>
      </c>
      <c r="I5" s="6">
        <v>0</v>
      </c>
      <c r="J5" s="8"/>
    </row>
    <row r="6" spans="1:11">
      <c r="A6" s="13">
        <v>1</v>
      </c>
      <c r="B6" s="47" t="str">
        <f t="shared" ref="B6:B27" si="2" xml:space="preserve"> CONCATENATE("Item ",A6)</f>
        <v>Item 1</v>
      </c>
      <c r="C6" s="13">
        <f t="shared" si="0"/>
        <v>1</v>
      </c>
      <c r="D6" s="13">
        <v>2</v>
      </c>
      <c r="E6" s="13">
        <v>0</v>
      </c>
      <c r="F6" s="13">
        <f t="shared" si="1"/>
        <v>255</v>
      </c>
      <c r="G6" s="14" t="s">
        <v>95</v>
      </c>
      <c r="H6" s="12" t="str">
        <f t="shared" ref="H6:H27" si="3" xml:space="preserve"> CONCATENATE("Value ",A6)</f>
        <v>Value 1</v>
      </c>
      <c r="I6" s="13">
        <v>0</v>
      </c>
      <c r="J6" s="12"/>
    </row>
    <row r="7" spans="1:11">
      <c r="A7" s="13">
        <v>2</v>
      </c>
      <c r="B7" s="47" t="str">
        <f t="shared" si="2"/>
        <v>Item 2</v>
      </c>
      <c r="C7" s="13">
        <f t="shared" si="0"/>
        <v>1</v>
      </c>
      <c r="D7" s="13">
        <v>2</v>
      </c>
      <c r="E7" s="13">
        <v>0</v>
      </c>
      <c r="F7" s="13">
        <f t="shared" si="1"/>
        <v>255</v>
      </c>
      <c r="G7" s="14" t="s">
        <v>95</v>
      </c>
      <c r="H7" s="12" t="str">
        <f t="shared" si="3"/>
        <v>Value 2</v>
      </c>
      <c r="I7" s="13">
        <v>0</v>
      </c>
      <c r="J7" s="12"/>
      <c r="K7" s="95" t="s">
        <v>413</v>
      </c>
    </row>
    <row r="8" spans="1:11">
      <c r="A8" s="13">
        <v>3</v>
      </c>
      <c r="B8" s="47" t="str">
        <f t="shared" si="2"/>
        <v>Item 3</v>
      </c>
      <c r="C8" s="13">
        <f t="shared" si="0"/>
        <v>1</v>
      </c>
      <c r="D8" s="13">
        <v>2</v>
      </c>
      <c r="E8" s="13">
        <v>0</v>
      </c>
      <c r="F8" s="13">
        <f t="shared" ref="F8:F27" si="4">16^D8-1</f>
        <v>255</v>
      </c>
      <c r="G8" s="14" t="s">
        <v>95</v>
      </c>
      <c r="H8" s="12" t="str">
        <f t="shared" si="3"/>
        <v>Value 3</v>
      </c>
      <c r="I8" s="13">
        <v>0</v>
      </c>
      <c r="J8" s="12"/>
    </row>
    <row r="9" spans="1:11">
      <c r="A9" s="13">
        <v>4</v>
      </c>
      <c r="B9" s="47" t="str">
        <f t="shared" si="2"/>
        <v>Item 4</v>
      </c>
      <c r="C9" s="13">
        <f t="shared" si="0"/>
        <v>1</v>
      </c>
      <c r="D9" s="13">
        <v>2</v>
      </c>
      <c r="E9" s="13">
        <v>0</v>
      </c>
      <c r="F9" s="13">
        <f t="shared" si="4"/>
        <v>255</v>
      </c>
      <c r="G9" s="14" t="s">
        <v>95</v>
      </c>
      <c r="H9" s="12" t="str">
        <f t="shared" si="3"/>
        <v>Value 4</v>
      </c>
      <c r="I9" s="13">
        <v>0</v>
      </c>
      <c r="J9" s="12"/>
    </row>
    <row r="10" spans="1:11">
      <c r="A10" s="13">
        <v>5</v>
      </c>
      <c r="B10" s="47" t="str">
        <f t="shared" si="2"/>
        <v>Item 5</v>
      </c>
      <c r="C10" s="13">
        <f t="shared" si="0"/>
        <v>1</v>
      </c>
      <c r="D10" s="13">
        <v>2</v>
      </c>
      <c r="E10" s="13">
        <v>0</v>
      </c>
      <c r="F10" s="13">
        <f t="shared" si="4"/>
        <v>255</v>
      </c>
      <c r="G10" s="14" t="s">
        <v>95</v>
      </c>
      <c r="H10" s="12" t="str">
        <f t="shared" si="3"/>
        <v>Value 5</v>
      </c>
      <c r="I10" s="13">
        <v>0</v>
      </c>
      <c r="J10" s="12"/>
    </row>
    <row r="11" spans="1:11">
      <c r="A11" s="13">
        <v>6</v>
      </c>
      <c r="B11" s="47" t="str">
        <f t="shared" si="2"/>
        <v>Item 6</v>
      </c>
      <c r="C11" s="13">
        <f t="shared" si="0"/>
        <v>1</v>
      </c>
      <c r="D11" s="13">
        <v>2</v>
      </c>
      <c r="E11" s="13">
        <v>0</v>
      </c>
      <c r="F11" s="13">
        <f t="shared" si="4"/>
        <v>255</v>
      </c>
      <c r="G11" s="14" t="s">
        <v>95</v>
      </c>
      <c r="H11" s="12" t="str">
        <f t="shared" si="3"/>
        <v>Value 6</v>
      </c>
      <c r="I11" s="13">
        <v>0</v>
      </c>
      <c r="J11" s="12"/>
    </row>
    <row r="12" spans="1:11">
      <c r="A12" s="13">
        <v>7</v>
      </c>
      <c r="B12" s="47" t="str">
        <f t="shared" si="2"/>
        <v>Item 7</v>
      </c>
      <c r="C12" s="13">
        <f t="shared" si="0"/>
        <v>1</v>
      </c>
      <c r="D12" s="13">
        <v>2</v>
      </c>
      <c r="E12" s="13">
        <v>0</v>
      </c>
      <c r="F12" s="13">
        <f t="shared" si="4"/>
        <v>255</v>
      </c>
      <c r="G12" s="14" t="s">
        <v>95</v>
      </c>
      <c r="H12" s="12" t="str">
        <f t="shared" si="3"/>
        <v>Value 7</v>
      </c>
      <c r="I12" s="13">
        <v>0</v>
      </c>
      <c r="J12" s="12"/>
    </row>
    <row r="13" spans="1:11">
      <c r="A13" s="13">
        <v>8</v>
      </c>
      <c r="B13" s="47" t="str">
        <f t="shared" si="2"/>
        <v>Item 8</v>
      </c>
      <c r="C13" s="13">
        <f t="shared" si="0"/>
        <v>1</v>
      </c>
      <c r="D13" s="13">
        <v>2</v>
      </c>
      <c r="E13" s="13">
        <v>0</v>
      </c>
      <c r="F13" s="13">
        <f t="shared" si="4"/>
        <v>255</v>
      </c>
      <c r="G13" s="14" t="s">
        <v>95</v>
      </c>
      <c r="H13" s="12" t="str">
        <f t="shared" si="3"/>
        <v>Value 8</v>
      </c>
      <c r="I13" s="13">
        <v>0</v>
      </c>
      <c r="J13" s="12"/>
    </row>
    <row r="14" spans="1:11">
      <c r="A14" s="13">
        <v>9</v>
      </c>
      <c r="B14" s="47" t="str">
        <f t="shared" si="2"/>
        <v>Item 9</v>
      </c>
      <c r="C14" s="13">
        <f t="shared" si="0"/>
        <v>1</v>
      </c>
      <c r="D14" s="13">
        <v>2</v>
      </c>
      <c r="E14" s="13">
        <v>0</v>
      </c>
      <c r="F14" s="13">
        <f t="shared" si="4"/>
        <v>255</v>
      </c>
      <c r="G14" s="14" t="s">
        <v>95</v>
      </c>
      <c r="H14" s="12" t="str">
        <f t="shared" si="3"/>
        <v>Value 9</v>
      </c>
      <c r="I14" s="13">
        <v>0</v>
      </c>
      <c r="J14" s="12"/>
    </row>
    <row r="15" spans="1:11">
      <c r="A15" s="13">
        <v>10</v>
      </c>
      <c r="B15" s="47" t="str">
        <f t="shared" si="2"/>
        <v>Item 10</v>
      </c>
      <c r="C15" s="13">
        <f t="shared" si="0"/>
        <v>1</v>
      </c>
      <c r="D15" s="13">
        <v>2</v>
      </c>
      <c r="E15" s="13">
        <v>0</v>
      </c>
      <c r="F15" s="13">
        <f t="shared" si="4"/>
        <v>255</v>
      </c>
      <c r="G15" s="14" t="s">
        <v>95</v>
      </c>
      <c r="H15" s="12" t="str">
        <f t="shared" si="3"/>
        <v>Value 10</v>
      </c>
      <c r="I15" s="13">
        <v>0</v>
      </c>
      <c r="J15" s="12"/>
    </row>
    <row r="16" spans="1:11">
      <c r="A16" s="13">
        <v>11</v>
      </c>
      <c r="B16" s="47" t="str">
        <f t="shared" si="2"/>
        <v>Item 11</v>
      </c>
      <c r="C16" s="13">
        <f t="shared" si="0"/>
        <v>1</v>
      </c>
      <c r="D16" s="13">
        <v>2</v>
      </c>
      <c r="E16" s="13">
        <v>0</v>
      </c>
      <c r="F16" s="13">
        <f t="shared" si="4"/>
        <v>255</v>
      </c>
      <c r="G16" s="14" t="s">
        <v>95</v>
      </c>
      <c r="H16" s="12" t="str">
        <f t="shared" si="3"/>
        <v>Value 11</v>
      </c>
      <c r="I16" s="13">
        <v>0</v>
      </c>
      <c r="J16" s="12"/>
    </row>
    <row r="17" spans="1:10">
      <c r="A17" s="13">
        <v>12</v>
      </c>
      <c r="B17" s="47" t="str">
        <f t="shared" si="2"/>
        <v>Item 12</v>
      </c>
      <c r="C17" s="13">
        <f t="shared" si="0"/>
        <v>1</v>
      </c>
      <c r="D17" s="13">
        <v>2</v>
      </c>
      <c r="E17" s="13">
        <v>0</v>
      </c>
      <c r="F17" s="13">
        <f t="shared" si="4"/>
        <v>255</v>
      </c>
      <c r="G17" s="14" t="s">
        <v>95</v>
      </c>
      <c r="H17" s="12" t="str">
        <f t="shared" si="3"/>
        <v>Value 12</v>
      </c>
      <c r="I17" s="13">
        <v>0</v>
      </c>
      <c r="J17" s="12"/>
    </row>
    <row r="18" spans="1:10">
      <c r="A18" s="13">
        <v>13</v>
      </c>
      <c r="B18" s="47" t="str">
        <f t="shared" si="2"/>
        <v>Item 13</v>
      </c>
      <c r="C18" s="13">
        <f t="shared" si="0"/>
        <v>1</v>
      </c>
      <c r="D18" s="13">
        <v>2</v>
      </c>
      <c r="E18" s="13">
        <v>0</v>
      </c>
      <c r="F18" s="13">
        <f t="shared" si="4"/>
        <v>255</v>
      </c>
      <c r="G18" s="14" t="s">
        <v>95</v>
      </c>
      <c r="H18" s="12" t="str">
        <f t="shared" si="3"/>
        <v>Value 13</v>
      </c>
      <c r="I18" s="13">
        <v>0</v>
      </c>
      <c r="J18" s="12"/>
    </row>
    <row r="19" spans="1:10">
      <c r="A19" s="13">
        <v>14</v>
      </c>
      <c r="B19" s="47" t="str">
        <f t="shared" si="2"/>
        <v>Item 14</v>
      </c>
      <c r="C19" s="13">
        <f t="shared" si="0"/>
        <v>1</v>
      </c>
      <c r="D19" s="13">
        <v>2</v>
      </c>
      <c r="E19" s="13">
        <v>0</v>
      </c>
      <c r="F19" s="13">
        <f t="shared" si="4"/>
        <v>255</v>
      </c>
      <c r="G19" s="14" t="s">
        <v>95</v>
      </c>
      <c r="H19" s="12" t="str">
        <f t="shared" si="3"/>
        <v>Value 14</v>
      </c>
      <c r="I19" s="13">
        <v>0</v>
      </c>
      <c r="J19" s="12" t="s">
        <v>410</v>
      </c>
    </row>
    <row r="20" spans="1:10">
      <c r="A20" s="13">
        <v>15</v>
      </c>
      <c r="B20" s="47" t="str">
        <f t="shared" si="2"/>
        <v>Item 15</v>
      </c>
      <c r="C20" s="13">
        <f t="shared" si="0"/>
        <v>1</v>
      </c>
      <c r="D20" s="13">
        <v>2</v>
      </c>
      <c r="E20" s="13">
        <v>0</v>
      </c>
      <c r="F20" s="13">
        <f t="shared" si="4"/>
        <v>255</v>
      </c>
      <c r="G20" s="14" t="s">
        <v>95</v>
      </c>
      <c r="H20" s="12" t="str">
        <f t="shared" si="3"/>
        <v>Value 15</v>
      </c>
      <c r="I20" s="13">
        <v>0</v>
      </c>
      <c r="J20" s="12" t="s">
        <v>410</v>
      </c>
    </row>
    <row r="21" spans="1:10">
      <c r="A21" s="13">
        <v>16</v>
      </c>
      <c r="B21" s="47" t="str">
        <f t="shared" si="2"/>
        <v>Item 16</v>
      </c>
      <c r="C21" s="13">
        <f t="shared" si="0"/>
        <v>1</v>
      </c>
      <c r="D21" s="13">
        <v>2</v>
      </c>
      <c r="E21" s="13">
        <v>0</v>
      </c>
      <c r="F21" s="13">
        <f t="shared" si="4"/>
        <v>255</v>
      </c>
      <c r="G21" s="14" t="s">
        <v>95</v>
      </c>
      <c r="H21" s="12" t="str">
        <f t="shared" si="3"/>
        <v>Value 16</v>
      </c>
      <c r="I21" s="13">
        <v>0</v>
      </c>
      <c r="J21" s="12" t="s">
        <v>410</v>
      </c>
    </row>
    <row r="22" spans="1:10">
      <c r="A22" s="13">
        <v>17</v>
      </c>
      <c r="B22" s="47" t="str">
        <f t="shared" si="2"/>
        <v>Item 17</v>
      </c>
      <c r="C22" s="13">
        <f t="shared" si="0"/>
        <v>1</v>
      </c>
      <c r="D22" s="13">
        <v>2</v>
      </c>
      <c r="E22" s="13">
        <v>0</v>
      </c>
      <c r="F22" s="13">
        <f t="shared" si="4"/>
        <v>255</v>
      </c>
      <c r="G22" s="14" t="s">
        <v>95</v>
      </c>
      <c r="H22" s="12" t="str">
        <f t="shared" si="3"/>
        <v>Value 17</v>
      </c>
      <c r="I22" s="13">
        <v>0</v>
      </c>
      <c r="J22" s="12" t="s">
        <v>410</v>
      </c>
    </row>
    <row r="23" spans="1:10">
      <c r="A23" s="13">
        <v>18</v>
      </c>
      <c r="B23" s="47" t="str">
        <f t="shared" si="2"/>
        <v>Item 18</v>
      </c>
      <c r="C23" s="13">
        <f t="shared" si="0"/>
        <v>1</v>
      </c>
      <c r="D23" s="13">
        <v>2</v>
      </c>
      <c r="E23" s="13">
        <v>0</v>
      </c>
      <c r="F23" s="13">
        <f t="shared" si="4"/>
        <v>255</v>
      </c>
      <c r="G23" s="14" t="s">
        <v>95</v>
      </c>
      <c r="H23" s="12" t="str">
        <f t="shared" si="3"/>
        <v>Value 18</v>
      </c>
      <c r="I23" s="13">
        <v>0</v>
      </c>
      <c r="J23" s="12" t="s">
        <v>410</v>
      </c>
    </row>
    <row r="24" spans="1:10">
      <c r="A24" s="13">
        <v>19</v>
      </c>
      <c r="B24" s="47" t="str">
        <f t="shared" si="2"/>
        <v>Item 19</v>
      </c>
      <c r="C24" s="13">
        <f t="shared" si="0"/>
        <v>1</v>
      </c>
      <c r="D24" s="13">
        <v>2</v>
      </c>
      <c r="E24" s="13">
        <v>0</v>
      </c>
      <c r="F24" s="13">
        <f t="shared" si="4"/>
        <v>255</v>
      </c>
      <c r="G24" s="14" t="s">
        <v>95</v>
      </c>
      <c r="H24" s="12" t="str">
        <f t="shared" si="3"/>
        <v>Value 19</v>
      </c>
      <c r="I24" s="13">
        <v>0</v>
      </c>
      <c r="J24" s="12" t="s">
        <v>410</v>
      </c>
    </row>
    <row r="25" spans="1:10">
      <c r="A25" s="13">
        <v>20</v>
      </c>
      <c r="B25" s="47" t="str">
        <f t="shared" si="2"/>
        <v>Item 20</v>
      </c>
      <c r="C25" s="13">
        <f t="shared" si="0"/>
        <v>1</v>
      </c>
      <c r="D25" s="13">
        <v>2</v>
      </c>
      <c r="E25" s="13">
        <v>0</v>
      </c>
      <c r="F25" s="13">
        <f t="shared" si="4"/>
        <v>255</v>
      </c>
      <c r="G25" s="14" t="s">
        <v>95</v>
      </c>
      <c r="H25" s="12" t="str">
        <f t="shared" si="3"/>
        <v>Value 20</v>
      </c>
      <c r="I25" s="13">
        <v>0</v>
      </c>
      <c r="J25" s="12" t="s">
        <v>410</v>
      </c>
    </row>
    <row r="26" spans="1:10">
      <c r="A26" s="13">
        <v>21</v>
      </c>
      <c r="B26" s="47" t="str">
        <f t="shared" si="2"/>
        <v>Item 21</v>
      </c>
      <c r="C26" s="13">
        <f t="shared" si="0"/>
        <v>1</v>
      </c>
      <c r="D26" s="13">
        <v>2</v>
      </c>
      <c r="E26" s="13">
        <v>0</v>
      </c>
      <c r="F26" s="13">
        <f t="shared" si="4"/>
        <v>255</v>
      </c>
      <c r="G26" s="14" t="s">
        <v>95</v>
      </c>
      <c r="H26" s="12" t="str">
        <f t="shared" si="3"/>
        <v>Value 21</v>
      </c>
      <c r="I26" s="13">
        <v>0</v>
      </c>
      <c r="J26" s="12" t="s">
        <v>410</v>
      </c>
    </row>
    <row r="27" spans="1:10">
      <c r="A27" s="13">
        <v>22</v>
      </c>
      <c r="B27" s="47" t="str">
        <f t="shared" si="2"/>
        <v>Item 22</v>
      </c>
      <c r="C27" s="13">
        <f t="shared" si="0"/>
        <v>1</v>
      </c>
      <c r="D27" s="13">
        <v>2</v>
      </c>
      <c r="E27" s="13">
        <v>0</v>
      </c>
      <c r="F27" s="13">
        <f t="shared" si="4"/>
        <v>255</v>
      </c>
      <c r="G27" s="14" t="s">
        <v>95</v>
      </c>
      <c r="H27" s="12" t="str">
        <f t="shared" si="3"/>
        <v>Value 22</v>
      </c>
      <c r="I27" s="13">
        <v>0</v>
      </c>
      <c r="J27" s="12" t="s">
        <v>411</v>
      </c>
    </row>
    <row r="28" spans="1:10">
      <c r="A28" s="13">
        <v>23</v>
      </c>
      <c r="B28" s="47" t="str">
        <f t="shared" ref="B28:B62" si="5" xml:space="preserve"> CONCATENATE("Item ",A28)</f>
        <v>Item 23</v>
      </c>
      <c r="C28" s="13">
        <f t="shared" si="0"/>
        <v>1</v>
      </c>
      <c r="D28" s="13">
        <v>2</v>
      </c>
      <c r="E28" s="13">
        <v>0</v>
      </c>
      <c r="F28" s="13">
        <f t="shared" ref="F28:F29" si="6">16^D28-1</f>
        <v>255</v>
      </c>
      <c r="G28" s="14" t="s">
        <v>95</v>
      </c>
      <c r="H28" s="12" t="str">
        <f t="shared" ref="H28:H29" si="7" xml:space="preserve"> CONCATENATE("Value ",A28)</f>
        <v>Value 23</v>
      </c>
      <c r="I28" s="13">
        <v>0</v>
      </c>
      <c r="J28" s="12" t="s">
        <v>411</v>
      </c>
    </row>
    <row r="29" spans="1:10">
      <c r="A29" s="13">
        <v>24</v>
      </c>
      <c r="B29" s="47" t="str">
        <f t="shared" si="5"/>
        <v>Item 24</v>
      </c>
      <c r="C29" s="13">
        <f t="shared" si="0"/>
        <v>1</v>
      </c>
      <c r="D29" s="13">
        <v>2</v>
      </c>
      <c r="E29" s="13">
        <v>0</v>
      </c>
      <c r="F29" s="13">
        <f t="shared" si="6"/>
        <v>255</v>
      </c>
      <c r="G29" s="14" t="s">
        <v>95</v>
      </c>
      <c r="H29" s="12" t="str">
        <f t="shared" si="7"/>
        <v>Value 24</v>
      </c>
      <c r="I29" s="13">
        <v>0</v>
      </c>
      <c r="J29" s="12" t="s">
        <v>411</v>
      </c>
    </row>
    <row r="30" spans="1:10">
      <c r="A30" s="13">
        <v>25</v>
      </c>
      <c r="B30" s="47" t="str">
        <f t="shared" si="5"/>
        <v>Item 25</v>
      </c>
      <c r="C30" s="13">
        <f t="shared" si="0"/>
        <v>1</v>
      </c>
      <c r="D30" s="13">
        <v>2</v>
      </c>
      <c r="E30" s="13">
        <v>0</v>
      </c>
      <c r="F30" s="13">
        <f t="shared" si="1"/>
        <v>255</v>
      </c>
      <c r="G30" s="14" t="s">
        <v>95</v>
      </c>
      <c r="H30" s="12" t="str">
        <f t="shared" ref="H30:H31" si="8" xml:space="preserve"> CONCATENATE("Value ",A30)</f>
        <v>Value 25</v>
      </c>
      <c r="I30" s="13">
        <v>0</v>
      </c>
      <c r="J30" s="12" t="s">
        <v>411</v>
      </c>
    </row>
    <row r="31" spans="1:10">
      <c r="A31" s="13">
        <v>26</v>
      </c>
      <c r="B31" s="47" t="str">
        <f t="shared" si="5"/>
        <v>Item 26</v>
      </c>
      <c r="C31" s="13">
        <f t="shared" si="0"/>
        <v>1</v>
      </c>
      <c r="D31" s="13">
        <v>2</v>
      </c>
      <c r="E31" s="13">
        <v>0</v>
      </c>
      <c r="F31" s="13">
        <f t="shared" si="1"/>
        <v>255</v>
      </c>
      <c r="G31" s="14" t="s">
        <v>95</v>
      </c>
      <c r="H31" s="12" t="str">
        <f t="shared" si="8"/>
        <v>Value 26</v>
      </c>
      <c r="I31" s="13">
        <v>0</v>
      </c>
      <c r="J31" s="12" t="s">
        <v>412</v>
      </c>
    </row>
    <row r="32" spans="1:10">
      <c r="A32" s="13">
        <v>27</v>
      </c>
      <c r="B32" s="47" t="str">
        <f t="shared" si="5"/>
        <v>Item 27</v>
      </c>
      <c r="C32" s="13">
        <f t="shared" si="0"/>
        <v>1</v>
      </c>
      <c r="D32" s="13">
        <v>2</v>
      </c>
      <c r="E32" s="13">
        <v>0</v>
      </c>
      <c r="F32" s="13">
        <f t="shared" ref="F32:F33" si="9">16^D32-1</f>
        <v>255</v>
      </c>
      <c r="G32" s="14" t="s">
        <v>95</v>
      </c>
      <c r="H32" s="12" t="str">
        <f t="shared" ref="H32:H33" si="10" xml:space="preserve"> CONCATENATE("Value ",A32)</f>
        <v>Value 27</v>
      </c>
      <c r="I32" s="13">
        <v>0</v>
      </c>
      <c r="J32" s="12" t="s">
        <v>412</v>
      </c>
    </row>
    <row r="33" spans="1:10">
      <c r="A33" s="13">
        <v>28</v>
      </c>
      <c r="B33" s="47" t="str">
        <f t="shared" si="5"/>
        <v>Item 28</v>
      </c>
      <c r="C33" s="13">
        <f t="shared" si="0"/>
        <v>1</v>
      </c>
      <c r="D33" s="13">
        <v>2</v>
      </c>
      <c r="E33" s="13">
        <v>0</v>
      </c>
      <c r="F33" s="13">
        <f t="shared" si="9"/>
        <v>255</v>
      </c>
      <c r="G33" s="14" t="s">
        <v>95</v>
      </c>
      <c r="H33" s="12" t="str">
        <f t="shared" si="10"/>
        <v>Value 28</v>
      </c>
      <c r="I33" s="13">
        <v>0</v>
      </c>
      <c r="J33" s="12" t="s">
        <v>412</v>
      </c>
    </row>
    <row r="34" spans="1:10">
      <c r="A34" s="13">
        <v>29</v>
      </c>
      <c r="B34" s="47" t="str">
        <f t="shared" si="5"/>
        <v>Item 29</v>
      </c>
      <c r="C34" s="13">
        <f t="shared" si="0"/>
        <v>1</v>
      </c>
      <c r="D34" s="13">
        <v>2</v>
      </c>
      <c r="E34" s="13">
        <v>0</v>
      </c>
      <c r="F34" s="13">
        <f t="shared" si="1"/>
        <v>255</v>
      </c>
      <c r="G34" s="14" t="s">
        <v>95</v>
      </c>
      <c r="H34" s="12" t="str">
        <f t="shared" ref="H34:H35" si="11" xml:space="preserve"> CONCATENATE("Value ",A34)</f>
        <v>Value 29</v>
      </c>
      <c r="I34" s="13">
        <v>0</v>
      </c>
      <c r="J34" s="12" t="s">
        <v>412</v>
      </c>
    </row>
    <row r="35" spans="1:10">
      <c r="A35" s="13">
        <v>30</v>
      </c>
      <c r="B35" s="47" t="str">
        <f t="shared" si="5"/>
        <v>Item 30</v>
      </c>
      <c r="C35" s="13">
        <f t="shared" si="0"/>
        <v>1</v>
      </c>
      <c r="D35" s="13">
        <v>2</v>
      </c>
      <c r="E35" s="13">
        <v>0</v>
      </c>
      <c r="F35" s="13">
        <f t="shared" si="1"/>
        <v>255</v>
      </c>
      <c r="G35" s="14" t="s">
        <v>95</v>
      </c>
      <c r="H35" s="12" t="str">
        <f t="shared" si="11"/>
        <v>Value 30</v>
      </c>
      <c r="I35" s="13">
        <v>0</v>
      </c>
      <c r="J35" s="12" t="s">
        <v>412</v>
      </c>
    </row>
    <row r="36" spans="1:10">
      <c r="A36" s="13">
        <v>31</v>
      </c>
      <c r="B36" s="47" t="str">
        <f t="shared" si="5"/>
        <v>Item 31</v>
      </c>
      <c r="C36" s="13">
        <f t="shared" si="0"/>
        <v>1</v>
      </c>
      <c r="D36" s="13">
        <v>2</v>
      </c>
      <c r="E36" s="13">
        <v>0</v>
      </c>
      <c r="F36" s="13">
        <f t="shared" ref="F36:F37" si="12">16^D36-1</f>
        <v>255</v>
      </c>
      <c r="G36" s="14" t="s">
        <v>95</v>
      </c>
      <c r="H36" s="12" t="str">
        <f t="shared" ref="H36:H37" si="13" xml:space="preserve"> CONCATENATE("Value ",A36)</f>
        <v>Value 31</v>
      </c>
      <c r="I36" s="13">
        <v>0</v>
      </c>
      <c r="J36" s="12" t="s">
        <v>412</v>
      </c>
    </row>
    <row r="37" spans="1:10">
      <c r="A37" s="13">
        <v>32</v>
      </c>
      <c r="B37" s="47" t="str">
        <f t="shared" si="5"/>
        <v>Item 32</v>
      </c>
      <c r="C37" s="13">
        <f t="shared" ref="C37:C62" si="14">D37/2</f>
        <v>1</v>
      </c>
      <c r="D37" s="13">
        <v>2</v>
      </c>
      <c r="E37" s="13">
        <v>0</v>
      </c>
      <c r="F37" s="13">
        <f t="shared" si="12"/>
        <v>255</v>
      </c>
      <c r="G37" s="14" t="s">
        <v>95</v>
      </c>
      <c r="H37" s="12" t="str">
        <f t="shared" si="13"/>
        <v>Value 32</v>
      </c>
      <c r="I37" s="13">
        <v>0</v>
      </c>
      <c r="J37" s="12" t="s">
        <v>412</v>
      </c>
    </row>
    <row r="38" spans="1:10">
      <c r="A38" s="13">
        <v>33</v>
      </c>
      <c r="B38" s="47" t="str">
        <f t="shared" si="5"/>
        <v>Item 33</v>
      </c>
      <c r="C38" s="13">
        <f t="shared" si="14"/>
        <v>1</v>
      </c>
      <c r="D38" s="13">
        <v>2</v>
      </c>
      <c r="E38" s="13">
        <v>0</v>
      </c>
      <c r="F38" s="13">
        <f t="shared" si="1"/>
        <v>255</v>
      </c>
      <c r="G38" s="14" t="s">
        <v>95</v>
      </c>
      <c r="H38" s="12" t="str">
        <f t="shared" ref="H38:H39" si="15" xml:space="preserve"> CONCATENATE("Value ",A38)</f>
        <v>Value 33</v>
      </c>
      <c r="I38" s="13">
        <v>0</v>
      </c>
      <c r="J38" s="12" t="s">
        <v>412</v>
      </c>
    </row>
    <row r="39" spans="1:10">
      <c r="A39" s="13">
        <v>34</v>
      </c>
      <c r="B39" s="47" t="str">
        <f t="shared" si="5"/>
        <v>Item 34</v>
      </c>
      <c r="C39" s="13">
        <f t="shared" si="14"/>
        <v>1</v>
      </c>
      <c r="D39" s="13">
        <v>2</v>
      </c>
      <c r="E39" s="13">
        <v>0</v>
      </c>
      <c r="F39" s="13">
        <f t="shared" si="1"/>
        <v>255</v>
      </c>
      <c r="G39" s="14" t="s">
        <v>95</v>
      </c>
      <c r="H39" s="12" t="str">
        <f t="shared" si="15"/>
        <v>Value 34</v>
      </c>
      <c r="I39" s="13">
        <v>0</v>
      </c>
      <c r="J39" s="12" t="s">
        <v>412</v>
      </c>
    </row>
    <row r="40" spans="1:10">
      <c r="A40" s="13">
        <v>35</v>
      </c>
      <c r="B40" s="47" t="str">
        <f t="shared" si="5"/>
        <v>Item 35</v>
      </c>
      <c r="C40" s="13">
        <f t="shared" si="14"/>
        <v>1</v>
      </c>
      <c r="D40" s="13">
        <v>2</v>
      </c>
      <c r="E40" s="13">
        <v>0</v>
      </c>
      <c r="F40" s="13">
        <f t="shared" ref="F40:F41" si="16">16^D40-1</f>
        <v>255</v>
      </c>
      <c r="G40" s="14" t="s">
        <v>95</v>
      </c>
      <c r="H40" s="12" t="str">
        <f t="shared" ref="H40:H41" si="17" xml:space="preserve"> CONCATENATE("Value ",A40)</f>
        <v>Value 35</v>
      </c>
      <c r="I40" s="13">
        <v>0</v>
      </c>
      <c r="J40" s="12" t="s">
        <v>412</v>
      </c>
    </row>
    <row r="41" spans="1:10">
      <c r="A41" s="13">
        <v>36</v>
      </c>
      <c r="B41" s="47" t="str">
        <f t="shared" si="5"/>
        <v>Item 36</v>
      </c>
      <c r="C41" s="13">
        <f t="shared" si="14"/>
        <v>1</v>
      </c>
      <c r="D41" s="13">
        <v>2</v>
      </c>
      <c r="E41" s="13">
        <v>0</v>
      </c>
      <c r="F41" s="13">
        <f t="shared" si="16"/>
        <v>255</v>
      </c>
      <c r="G41" s="14" t="s">
        <v>95</v>
      </c>
      <c r="H41" s="12" t="str">
        <f t="shared" si="17"/>
        <v>Value 36</v>
      </c>
      <c r="I41" s="13">
        <v>0</v>
      </c>
      <c r="J41" s="12" t="s">
        <v>412</v>
      </c>
    </row>
    <row r="42" spans="1:10">
      <c r="A42" s="13">
        <v>37</v>
      </c>
      <c r="B42" s="47" t="str">
        <f t="shared" si="5"/>
        <v>Item 37</v>
      </c>
      <c r="C42" s="13">
        <f t="shared" si="14"/>
        <v>1</v>
      </c>
      <c r="D42" s="13">
        <v>2</v>
      </c>
      <c r="E42" s="13">
        <v>0</v>
      </c>
      <c r="F42" s="13">
        <f t="shared" si="1"/>
        <v>255</v>
      </c>
      <c r="G42" s="14" t="s">
        <v>95</v>
      </c>
      <c r="H42" s="12" t="str">
        <f t="shared" ref="H42:H43" si="18" xml:space="preserve"> CONCATENATE("Value ",A42)</f>
        <v>Value 37</v>
      </c>
      <c r="I42" s="13">
        <v>0</v>
      </c>
      <c r="J42" s="12" t="s">
        <v>412</v>
      </c>
    </row>
    <row r="43" spans="1:10">
      <c r="A43" s="13">
        <v>38</v>
      </c>
      <c r="B43" s="47" t="str">
        <f t="shared" si="5"/>
        <v>Item 38</v>
      </c>
      <c r="C43" s="13">
        <f t="shared" si="14"/>
        <v>1</v>
      </c>
      <c r="D43" s="13">
        <v>2</v>
      </c>
      <c r="E43" s="13">
        <v>0</v>
      </c>
      <c r="F43" s="13">
        <f t="shared" si="1"/>
        <v>255</v>
      </c>
      <c r="G43" s="14" t="s">
        <v>95</v>
      </c>
      <c r="H43" s="12" t="str">
        <f t="shared" si="18"/>
        <v>Value 38</v>
      </c>
      <c r="I43" s="13">
        <v>0</v>
      </c>
      <c r="J43" s="12" t="s">
        <v>412</v>
      </c>
    </row>
    <row r="44" spans="1:10">
      <c r="A44" s="13">
        <v>39</v>
      </c>
      <c r="B44" s="47" t="str">
        <f t="shared" si="5"/>
        <v>Item 39</v>
      </c>
      <c r="C44" s="13">
        <f t="shared" si="14"/>
        <v>1</v>
      </c>
      <c r="D44" s="13">
        <v>2</v>
      </c>
      <c r="E44" s="13">
        <v>0</v>
      </c>
      <c r="F44" s="13">
        <f t="shared" ref="F44:F45" si="19">16^D44-1</f>
        <v>255</v>
      </c>
      <c r="G44" s="14" t="s">
        <v>95</v>
      </c>
      <c r="H44" s="12" t="str">
        <f t="shared" ref="H44:H45" si="20" xml:space="preserve"> CONCATENATE("Value ",A44)</f>
        <v>Value 39</v>
      </c>
      <c r="I44" s="13">
        <v>0</v>
      </c>
      <c r="J44" s="12" t="s">
        <v>412</v>
      </c>
    </row>
    <row r="45" spans="1:10">
      <c r="A45" s="13">
        <v>40</v>
      </c>
      <c r="B45" s="47" t="str">
        <f t="shared" si="5"/>
        <v>Item 40</v>
      </c>
      <c r="C45" s="13">
        <f t="shared" si="14"/>
        <v>1</v>
      </c>
      <c r="D45" s="13">
        <v>2</v>
      </c>
      <c r="E45" s="13">
        <v>0</v>
      </c>
      <c r="F45" s="13">
        <f t="shared" si="19"/>
        <v>255</v>
      </c>
      <c r="G45" s="14" t="s">
        <v>95</v>
      </c>
      <c r="H45" s="12" t="str">
        <f t="shared" si="20"/>
        <v>Value 40</v>
      </c>
      <c r="I45" s="13">
        <v>0</v>
      </c>
      <c r="J45" s="12" t="s">
        <v>412</v>
      </c>
    </row>
    <row r="46" spans="1:10">
      <c r="A46" s="13">
        <v>41</v>
      </c>
      <c r="B46" s="47" t="str">
        <f t="shared" si="5"/>
        <v>Item 41</v>
      </c>
      <c r="C46" s="13">
        <f t="shared" si="14"/>
        <v>1</v>
      </c>
      <c r="D46" s="13">
        <v>2</v>
      </c>
      <c r="E46" s="13">
        <v>0</v>
      </c>
      <c r="F46" s="13">
        <f t="shared" si="1"/>
        <v>255</v>
      </c>
      <c r="G46" s="14" t="s">
        <v>95</v>
      </c>
      <c r="H46" s="12" t="str">
        <f t="shared" ref="H46:H47" si="21" xml:space="preserve"> CONCATENATE("Value ",A46)</f>
        <v>Value 41</v>
      </c>
      <c r="I46" s="13">
        <v>0</v>
      </c>
      <c r="J46" s="12" t="s">
        <v>412</v>
      </c>
    </row>
    <row r="47" spans="1:10">
      <c r="A47" s="13">
        <v>42</v>
      </c>
      <c r="B47" s="47" t="str">
        <f t="shared" si="5"/>
        <v>Item 42</v>
      </c>
      <c r="C47" s="13">
        <f t="shared" si="14"/>
        <v>1</v>
      </c>
      <c r="D47" s="13">
        <v>2</v>
      </c>
      <c r="E47" s="13">
        <v>0</v>
      </c>
      <c r="F47" s="13">
        <f t="shared" si="1"/>
        <v>255</v>
      </c>
      <c r="G47" s="14" t="s">
        <v>95</v>
      </c>
      <c r="H47" s="12" t="str">
        <f t="shared" si="21"/>
        <v>Value 42</v>
      </c>
      <c r="I47" s="13">
        <v>0</v>
      </c>
      <c r="J47" s="12" t="s">
        <v>412</v>
      </c>
    </row>
    <row r="48" spans="1:10">
      <c r="A48" s="13">
        <v>43</v>
      </c>
      <c r="B48" s="47" t="str">
        <f t="shared" si="5"/>
        <v>Item 43</v>
      </c>
      <c r="C48" s="13">
        <f t="shared" si="14"/>
        <v>1</v>
      </c>
      <c r="D48" s="13">
        <v>2</v>
      </c>
      <c r="E48" s="13">
        <v>0</v>
      </c>
      <c r="F48" s="13">
        <f t="shared" ref="F48" si="22">16^D48-1</f>
        <v>255</v>
      </c>
      <c r="G48" s="14" t="s">
        <v>95</v>
      </c>
      <c r="H48" s="12" t="str">
        <f t="shared" ref="H48:H58" si="23" xml:space="preserve"> CONCATENATE("Value ",A48)</f>
        <v>Value 43</v>
      </c>
      <c r="I48" s="13">
        <v>0</v>
      </c>
      <c r="J48" s="12" t="s">
        <v>412</v>
      </c>
    </row>
    <row r="49" spans="1:11">
      <c r="A49" s="13">
        <v>44</v>
      </c>
      <c r="B49" s="47" t="str">
        <f t="shared" si="5"/>
        <v>Item 44</v>
      </c>
      <c r="C49" s="13">
        <f t="shared" si="14"/>
        <v>1</v>
      </c>
      <c r="D49" s="13">
        <v>2</v>
      </c>
      <c r="E49" s="13">
        <v>0</v>
      </c>
      <c r="F49" s="13">
        <f t="shared" ref="F49:F58" si="24">16^D49-1</f>
        <v>255</v>
      </c>
      <c r="G49" s="14" t="s">
        <v>95</v>
      </c>
      <c r="H49" s="12" t="str">
        <f t="shared" si="23"/>
        <v>Value 44</v>
      </c>
      <c r="I49" s="13">
        <v>0</v>
      </c>
      <c r="J49" s="12" t="s">
        <v>412</v>
      </c>
    </row>
    <row r="50" spans="1:11">
      <c r="A50" s="13">
        <v>45</v>
      </c>
      <c r="B50" s="47" t="str">
        <f t="shared" si="5"/>
        <v>Item 45</v>
      </c>
      <c r="C50" s="13">
        <f t="shared" si="14"/>
        <v>1</v>
      </c>
      <c r="D50" s="13">
        <v>2</v>
      </c>
      <c r="E50" s="13">
        <v>0</v>
      </c>
      <c r="F50" s="13">
        <f t="shared" si="24"/>
        <v>255</v>
      </c>
      <c r="G50" s="14" t="s">
        <v>95</v>
      </c>
      <c r="H50" s="12" t="str">
        <f t="shared" si="23"/>
        <v>Value 45</v>
      </c>
      <c r="I50" s="13">
        <v>0</v>
      </c>
      <c r="J50" s="12" t="s">
        <v>412</v>
      </c>
    </row>
    <row r="51" spans="1:11">
      <c r="A51" s="13">
        <v>46</v>
      </c>
      <c r="B51" s="47" t="str">
        <f t="shared" si="5"/>
        <v>Item 46</v>
      </c>
      <c r="C51" s="13">
        <f t="shared" si="14"/>
        <v>1</v>
      </c>
      <c r="D51" s="13">
        <v>2</v>
      </c>
      <c r="E51" s="13">
        <v>0</v>
      </c>
      <c r="F51" s="13">
        <f t="shared" si="24"/>
        <v>255</v>
      </c>
      <c r="G51" s="14" t="s">
        <v>95</v>
      </c>
      <c r="H51" s="12" t="str">
        <f t="shared" si="23"/>
        <v>Value 46</v>
      </c>
      <c r="I51" s="13">
        <v>0</v>
      </c>
      <c r="J51" s="12"/>
    </row>
    <row r="52" spans="1:11">
      <c r="A52" s="13">
        <v>47</v>
      </c>
      <c r="B52" s="47" t="str">
        <f t="shared" si="5"/>
        <v>Item 47</v>
      </c>
      <c r="C52" s="13">
        <f t="shared" si="14"/>
        <v>1</v>
      </c>
      <c r="D52" s="13">
        <v>2</v>
      </c>
      <c r="E52" s="13">
        <v>0</v>
      </c>
      <c r="F52" s="13">
        <f t="shared" si="24"/>
        <v>255</v>
      </c>
      <c r="G52" s="14" t="s">
        <v>95</v>
      </c>
      <c r="H52" s="12" t="str">
        <f t="shared" si="23"/>
        <v>Value 47</v>
      </c>
      <c r="I52" s="13">
        <v>0</v>
      </c>
      <c r="J52" s="12"/>
    </row>
    <row r="53" spans="1:11">
      <c r="A53" s="13">
        <v>48</v>
      </c>
      <c r="B53" s="47" t="str">
        <f t="shared" si="5"/>
        <v>Item 48</v>
      </c>
      <c r="C53" s="13">
        <f t="shared" si="14"/>
        <v>1</v>
      </c>
      <c r="D53" s="13">
        <v>2</v>
      </c>
      <c r="E53" s="13">
        <v>0</v>
      </c>
      <c r="F53" s="13">
        <f t="shared" si="24"/>
        <v>255</v>
      </c>
      <c r="G53" s="14" t="s">
        <v>95</v>
      </c>
      <c r="H53" s="12" t="str">
        <f t="shared" si="23"/>
        <v>Value 48</v>
      </c>
      <c r="I53" s="13">
        <v>0</v>
      </c>
      <c r="J53" s="12"/>
    </row>
    <row r="54" spans="1:11">
      <c r="A54" s="13">
        <v>49</v>
      </c>
      <c r="B54" s="47" t="str">
        <f t="shared" si="5"/>
        <v>Item 49</v>
      </c>
      <c r="C54" s="13">
        <f t="shared" si="14"/>
        <v>1</v>
      </c>
      <c r="D54" s="13">
        <v>2</v>
      </c>
      <c r="E54" s="13">
        <v>0</v>
      </c>
      <c r="F54" s="13">
        <f t="shared" si="24"/>
        <v>255</v>
      </c>
      <c r="G54" s="14" t="s">
        <v>95</v>
      </c>
      <c r="H54" s="12" t="str">
        <f t="shared" si="23"/>
        <v>Value 49</v>
      </c>
      <c r="I54" s="13">
        <v>0</v>
      </c>
      <c r="J54" s="12"/>
    </row>
    <row r="55" spans="1:11">
      <c r="A55" s="13">
        <v>50</v>
      </c>
      <c r="B55" s="47" t="str">
        <f t="shared" si="5"/>
        <v>Item 50</v>
      </c>
      <c r="C55" s="13">
        <f t="shared" si="14"/>
        <v>1</v>
      </c>
      <c r="D55" s="13">
        <v>2</v>
      </c>
      <c r="E55" s="13">
        <v>0</v>
      </c>
      <c r="F55" s="13">
        <f t="shared" si="24"/>
        <v>255</v>
      </c>
      <c r="G55" s="14" t="s">
        <v>95</v>
      </c>
      <c r="H55" s="12" t="str">
        <f t="shared" si="23"/>
        <v>Value 50</v>
      </c>
      <c r="I55" s="13">
        <v>0</v>
      </c>
      <c r="J55" s="12"/>
    </row>
    <row r="56" spans="1:11">
      <c r="A56" s="13">
        <v>51</v>
      </c>
      <c r="B56" s="47" t="str">
        <f t="shared" si="5"/>
        <v>Item 51</v>
      </c>
      <c r="C56" s="13">
        <f t="shared" si="14"/>
        <v>1</v>
      </c>
      <c r="D56" s="13">
        <v>2</v>
      </c>
      <c r="E56" s="13">
        <v>0</v>
      </c>
      <c r="F56" s="13">
        <f t="shared" si="24"/>
        <v>255</v>
      </c>
      <c r="G56" s="14" t="s">
        <v>95</v>
      </c>
      <c r="H56" s="12" t="str">
        <f t="shared" si="23"/>
        <v>Value 51</v>
      </c>
      <c r="I56" s="13">
        <v>0</v>
      </c>
      <c r="J56" s="12"/>
    </row>
    <row r="57" spans="1:11">
      <c r="A57" s="13">
        <v>52</v>
      </c>
      <c r="B57" s="47" t="str">
        <f t="shared" si="5"/>
        <v>Item 52</v>
      </c>
      <c r="C57" s="13">
        <f t="shared" si="14"/>
        <v>1</v>
      </c>
      <c r="D57" s="13">
        <v>2</v>
      </c>
      <c r="E57" s="13">
        <v>0</v>
      </c>
      <c r="F57" s="13">
        <f t="shared" si="24"/>
        <v>255</v>
      </c>
      <c r="G57" s="14" t="s">
        <v>95</v>
      </c>
      <c r="H57" s="12" t="str">
        <f t="shared" si="23"/>
        <v>Value 52</v>
      </c>
      <c r="I57" s="13">
        <v>0</v>
      </c>
      <c r="J57" s="12"/>
    </row>
    <row r="58" spans="1:11">
      <c r="A58" s="13">
        <v>53</v>
      </c>
      <c r="B58" s="47" t="str">
        <f t="shared" si="5"/>
        <v>Item 53</v>
      </c>
      <c r="C58" s="13">
        <f t="shared" si="14"/>
        <v>1</v>
      </c>
      <c r="D58" s="13">
        <v>2</v>
      </c>
      <c r="E58" s="13">
        <v>0</v>
      </c>
      <c r="F58" s="13">
        <f t="shared" si="24"/>
        <v>255</v>
      </c>
      <c r="G58" s="14" t="s">
        <v>95</v>
      </c>
      <c r="H58" s="12" t="str">
        <f t="shared" si="23"/>
        <v>Value 53</v>
      </c>
      <c r="I58" s="13">
        <v>0</v>
      </c>
      <c r="J58" s="12"/>
    </row>
    <row r="59" spans="1:11">
      <c r="A59" s="13">
        <v>54</v>
      </c>
      <c r="B59" s="47" t="str">
        <f t="shared" si="5"/>
        <v>Item 54</v>
      </c>
      <c r="C59" s="13">
        <f t="shared" si="14"/>
        <v>1</v>
      </c>
      <c r="D59" s="13">
        <v>2</v>
      </c>
      <c r="E59" s="13">
        <v>0</v>
      </c>
      <c r="F59" s="13">
        <f t="shared" ref="F59:F62" si="25">16^D59-1</f>
        <v>255</v>
      </c>
      <c r="G59" s="14" t="s">
        <v>95</v>
      </c>
      <c r="H59" s="12" t="str">
        <f t="shared" ref="H59:H62" si="26" xml:space="preserve"> CONCATENATE("Value ",A59)</f>
        <v>Value 54</v>
      </c>
      <c r="I59" s="13">
        <v>0</v>
      </c>
      <c r="J59" s="12"/>
    </row>
    <row r="60" spans="1:11">
      <c r="A60" s="13">
        <v>55</v>
      </c>
      <c r="B60" s="47" t="str">
        <f t="shared" si="5"/>
        <v>Item 55</v>
      </c>
      <c r="C60" s="13">
        <f t="shared" si="14"/>
        <v>1</v>
      </c>
      <c r="D60" s="13">
        <v>2</v>
      </c>
      <c r="E60" s="13">
        <v>0</v>
      </c>
      <c r="F60" s="13">
        <f t="shared" si="25"/>
        <v>255</v>
      </c>
      <c r="G60" s="14" t="s">
        <v>95</v>
      </c>
      <c r="H60" s="12" t="str">
        <f t="shared" si="26"/>
        <v>Value 55</v>
      </c>
      <c r="I60" s="13">
        <v>0</v>
      </c>
      <c r="J60" s="12"/>
    </row>
    <row r="61" spans="1:11">
      <c r="A61" s="13">
        <v>56</v>
      </c>
      <c r="B61" s="47" t="str">
        <f t="shared" si="5"/>
        <v>Item 56</v>
      </c>
      <c r="C61" s="13">
        <f t="shared" si="14"/>
        <v>1</v>
      </c>
      <c r="D61" s="13">
        <v>2</v>
      </c>
      <c r="E61" s="13">
        <v>0</v>
      </c>
      <c r="F61" s="13">
        <f t="shared" si="25"/>
        <v>255</v>
      </c>
      <c r="G61" s="14" t="s">
        <v>95</v>
      </c>
      <c r="H61" s="12" t="str">
        <f t="shared" si="26"/>
        <v>Value 56</v>
      </c>
      <c r="I61" s="13">
        <v>0</v>
      </c>
      <c r="J61" s="12"/>
    </row>
    <row r="62" spans="1:11">
      <c r="A62" s="16">
        <v>57</v>
      </c>
      <c r="B62" s="20" t="str">
        <f t="shared" si="5"/>
        <v>Item 57</v>
      </c>
      <c r="C62" s="16">
        <f t="shared" si="14"/>
        <v>1</v>
      </c>
      <c r="D62" s="16">
        <v>2</v>
      </c>
      <c r="E62" s="16">
        <v>0</v>
      </c>
      <c r="F62" s="16">
        <f t="shared" si="25"/>
        <v>255</v>
      </c>
      <c r="G62" s="17" t="s">
        <v>95</v>
      </c>
      <c r="H62" s="15" t="str">
        <f t="shared" si="26"/>
        <v>Value 57</v>
      </c>
      <c r="I62" s="16">
        <v>0</v>
      </c>
      <c r="J62" s="15"/>
    </row>
    <row r="63" spans="1:11" s="4" customFormat="1">
      <c r="A63" s="2" t="s">
        <v>150</v>
      </c>
      <c r="G63" s="1"/>
      <c r="H63" s="1"/>
      <c r="J63" s="1"/>
      <c r="K63" s="1"/>
    </row>
    <row r="64" spans="1:11" s="4" customFormat="1">
      <c r="A64" s="2" t="s">
        <v>152</v>
      </c>
      <c r="G64" s="1"/>
      <c r="H64" s="1"/>
      <c r="J64" s="1"/>
      <c r="K64" s="1"/>
    </row>
    <row r="65" spans="1:11" s="4" customFormat="1">
      <c r="A65" s="2" t="s">
        <v>151</v>
      </c>
      <c r="G65" s="1"/>
      <c r="H65" s="1"/>
      <c r="J65" s="1"/>
      <c r="K65" s="1"/>
    </row>
  </sheetData>
  <sheetProtection selectLockedCells="1"/>
  <pageMargins left="0.7" right="0.7" top="0.75" bottom="0.75" header="0.3" footer="0.3"/>
  <pageSetup paperSize="9" orientation="portrait" horizontalDpi="200" verticalDpi="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E2804-4375-476D-8FBD-B2184C4C6BC4}">
  <sheetPr codeName="Sheet17"/>
  <dimension ref="A1:E256"/>
  <sheetViews>
    <sheetView workbookViewId="0">
      <selection activeCell="B4" sqref="B4"/>
    </sheetView>
  </sheetViews>
  <sheetFormatPr defaultRowHeight="15"/>
  <cols>
    <col min="1" max="1" width="9.140625" style="3"/>
    <col min="2" max="2" width="27" customWidth="1"/>
    <col min="3" max="3" width="2" bestFit="1" customWidth="1"/>
    <col min="4" max="4" width="4" bestFit="1" customWidth="1"/>
  </cols>
  <sheetData>
    <row r="1" spans="1:5">
      <c r="A1" s="3">
        <v>0</v>
      </c>
      <c r="B1" t="s">
        <v>325</v>
      </c>
      <c r="C1" s="88" t="s">
        <v>349</v>
      </c>
      <c r="D1">
        <v>0</v>
      </c>
      <c r="E1" s="88" t="s">
        <v>350</v>
      </c>
    </row>
    <row r="2" spans="1:5">
      <c r="A2" s="3">
        <v>1</v>
      </c>
      <c r="B2" t="s">
        <v>326</v>
      </c>
      <c r="C2" s="88" t="s">
        <v>349</v>
      </c>
      <c r="D2">
        <v>1</v>
      </c>
      <c r="E2" s="88" t="s">
        <v>350</v>
      </c>
    </row>
    <row r="3" spans="1:5">
      <c r="A3" s="3">
        <v>2</v>
      </c>
      <c r="B3" t="s">
        <v>328</v>
      </c>
      <c r="C3" s="88" t="s">
        <v>349</v>
      </c>
      <c r="D3">
        <v>2</v>
      </c>
      <c r="E3" s="88" t="s">
        <v>350</v>
      </c>
    </row>
    <row r="4" spans="1:5">
      <c r="A4" s="3">
        <v>3</v>
      </c>
      <c r="B4" t="s">
        <v>329</v>
      </c>
      <c r="C4" s="88" t="s">
        <v>349</v>
      </c>
      <c r="D4">
        <v>3</v>
      </c>
      <c r="E4" s="88" t="s">
        <v>350</v>
      </c>
    </row>
    <row r="5" spans="1:5">
      <c r="A5" s="3">
        <v>4</v>
      </c>
      <c r="B5" t="s">
        <v>332</v>
      </c>
      <c r="C5" s="88" t="s">
        <v>349</v>
      </c>
      <c r="D5">
        <v>4</v>
      </c>
      <c r="E5" s="88" t="s">
        <v>350</v>
      </c>
    </row>
    <row r="6" spans="1:5">
      <c r="A6" s="3">
        <v>5</v>
      </c>
      <c r="B6" t="s">
        <v>327</v>
      </c>
      <c r="C6" s="88" t="s">
        <v>349</v>
      </c>
      <c r="D6">
        <v>5</v>
      </c>
      <c r="E6" s="88" t="s">
        <v>350</v>
      </c>
    </row>
    <row r="7" spans="1:5">
      <c r="A7" s="3">
        <v>6</v>
      </c>
      <c r="B7" t="s">
        <v>333</v>
      </c>
      <c r="C7" s="88" t="s">
        <v>349</v>
      </c>
      <c r="D7">
        <v>6</v>
      </c>
      <c r="E7" s="88" t="s">
        <v>350</v>
      </c>
    </row>
    <row r="8" spans="1:5">
      <c r="A8" s="3">
        <v>7</v>
      </c>
      <c r="B8" t="s">
        <v>307</v>
      </c>
      <c r="C8" s="88" t="s">
        <v>349</v>
      </c>
      <c r="D8">
        <v>7</v>
      </c>
      <c r="E8" s="88" t="s">
        <v>350</v>
      </c>
    </row>
    <row r="9" spans="1:5">
      <c r="A9" s="3">
        <v>8</v>
      </c>
      <c r="B9" t="s">
        <v>302</v>
      </c>
      <c r="C9" s="88" t="s">
        <v>349</v>
      </c>
      <c r="D9">
        <v>8</v>
      </c>
      <c r="E9" s="88" t="s">
        <v>350</v>
      </c>
    </row>
    <row r="10" spans="1:5">
      <c r="A10" s="3">
        <v>9</v>
      </c>
      <c r="B10" t="s">
        <v>334</v>
      </c>
      <c r="C10" s="88" t="s">
        <v>349</v>
      </c>
      <c r="D10">
        <v>9</v>
      </c>
      <c r="E10" s="88" t="s">
        <v>350</v>
      </c>
    </row>
    <row r="11" spans="1:5">
      <c r="A11" s="3">
        <v>10</v>
      </c>
      <c r="B11" t="s">
        <v>335</v>
      </c>
      <c r="C11" s="88" t="s">
        <v>349</v>
      </c>
      <c r="D11">
        <v>10</v>
      </c>
      <c r="E11" s="88" t="s">
        <v>350</v>
      </c>
    </row>
    <row r="12" spans="1:5">
      <c r="A12" s="3">
        <v>11</v>
      </c>
      <c r="B12" t="s">
        <v>338</v>
      </c>
      <c r="C12" s="88" t="s">
        <v>349</v>
      </c>
      <c r="D12">
        <v>11</v>
      </c>
      <c r="E12" s="88" t="s">
        <v>350</v>
      </c>
    </row>
    <row r="13" spans="1:5">
      <c r="A13" s="3">
        <v>12</v>
      </c>
      <c r="B13" t="s">
        <v>339</v>
      </c>
      <c r="C13" s="88" t="s">
        <v>349</v>
      </c>
      <c r="D13">
        <v>12</v>
      </c>
      <c r="E13" s="88" t="s">
        <v>350</v>
      </c>
    </row>
    <row r="14" spans="1:5">
      <c r="A14" s="3">
        <v>13</v>
      </c>
      <c r="B14" t="s">
        <v>340</v>
      </c>
      <c r="C14" s="88" t="s">
        <v>349</v>
      </c>
      <c r="D14">
        <v>13</v>
      </c>
      <c r="E14" s="88" t="s">
        <v>350</v>
      </c>
    </row>
    <row r="15" spans="1:5">
      <c r="A15" s="3">
        <v>14</v>
      </c>
      <c r="B15" t="s">
        <v>341</v>
      </c>
      <c r="C15" s="88" t="s">
        <v>349</v>
      </c>
      <c r="D15">
        <v>14</v>
      </c>
      <c r="E15" s="88" t="s">
        <v>350</v>
      </c>
    </row>
    <row r="16" spans="1:5">
      <c r="A16" s="3">
        <v>15</v>
      </c>
      <c r="B16" t="s">
        <v>344</v>
      </c>
      <c r="C16" s="88" t="s">
        <v>349</v>
      </c>
      <c r="D16">
        <v>15</v>
      </c>
      <c r="E16" s="88" t="s">
        <v>350</v>
      </c>
    </row>
    <row r="17" spans="1:5">
      <c r="A17" s="3">
        <v>16</v>
      </c>
      <c r="B17" t="s">
        <v>345</v>
      </c>
      <c r="C17" s="88" t="s">
        <v>349</v>
      </c>
      <c r="D17">
        <v>16</v>
      </c>
      <c r="E17" s="88" t="s">
        <v>350</v>
      </c>
    </row>
    <row r="18" spans="1:5">
      <c r="A18" s="3">
        <v>17</v>
      </c>
      <c r="B18" t="s">
        <v>353</v>
      </c>
      <c r="C18" s="88" t="s">
        <v>349</v>
      </c>
      <c r="D18">
        <v>17</v>
      </c>
      <c r="E18" s="88" t="s">
        <v>350</v>
      </c>
    </row>
    <row r="19" spans="1:5">
      <c r="A19" s="3">
        <v>18</v>
      </c>
      <c r="B19" t="s">
        <v>354</v>
      </c>
      <c r="C19" s="88" t="s">
        <v>349</v>
      </c>
      <c r="D19">
        <v>18</v>
      </c>
      <c r="E19" s="88" t="s">
        <v>350</v>
      </c>
    </row>
    <row r="20" spans="1:5">
      <c r="A20" s="3">
        <v>19</v>
      </c>
      <c r="B20" t="s">
        <v>361</v>
      </c>
      <c r="C20" s="88" t="s">
        <v>349</v>
      </c>
      <c r="D20">
        <v>19</v>
      </c>
      <c r="E20" s="88" t="s">
        <v>350</v>
      </c>
    </row>
    <row r="21" spans="1:5">
      <c r="A21" s="3">
        <v>20</v>
      </c>
      <c r="B21" t="s">
        <v>391</v>
      </c>
      <c r="C21" s="88" t="s">
        <v>349</v>
      </c>
      <c r="D21">
        <v>20</v>
      </c>
      <c r="E21" s="88" t="s">
        <v>350</v>
      </c>
    </row>
    <row r="22" spans="1:5">
      <c r="A22" s="3">
        <v>21</v>
      </c>
      <c r="B22" t="s">
        <v>401</v>
      </c>
      <c r="C22" s="88" t="s">
        <v>349</v>
      </c>
      <c r="D22">
        <v>21</v>
      </c>
      <c r="E22" s="88" t="s">
        <v>350</v>
      </c>
    </row>
    <row r="23" spans="1:5">
      <c r="A23" s="3">
        <v>22</v>
      </c>
      <c r="B23" t="s">
        <v>414</v>
      </c>
      <c r="C23" s="88" t="s">
        <v>349</v>
      </c>
      <c r="D23">
        <v>22</v>
      </c>
      <c r="E23" s="88" t="s">
        <v>350</v>
      </c>
    </row>
    <row r="24" spans="1:5">
      <c r="A24" s="3">
        <v>23</v>
      </c>
      <c r="B24" t="s">
        <v>416</v>
      </c>
      <c r="C24" s="88" t="s">
        <v>349</v>
      </c>
      <c r="D24">
        <v>23</v>
      </c>
      <c r="E24" s="88" t="s">
        <v>350</v>
      </c>
    </row>
    <row r="25" spans="1:5">
      <c r="A25" s="3">
        <v>24</v>
      </c>
      <c r="B25" t="s">
        <v>415</v>
      </c>
      <c r="C25" s="88" t="s">
        <v>349</v>
      </c>
      <c r="D25">
        <v>24</v>
      </c>
      <c r="E25" s="88" t="s">
        <v>350</v>
      </c>
    </row>
    <row r="26" spans="1:5">
      <c r="A26" s="3">
        <v>25</v>
      </c>
      <c r="B26" t="s">
        <v>418</v>
      </c>
      <c r="C26" s="88" t="s">
        <v>349</v>
      </c>
      <c r="D26">
        <v>25</v>
      </c>
      <c r="E26" s="88" t="s">
        <v>350</v>
      </c>
    </row>
    <row r="27" spans="1:5">
      <c r="A27" s="3">
        <v>26</v>
      </c>
      <c r="B27" t="s">
        <v>417</v>
      </c>
      <c r="C27" s="88" t="s">
        <v>349</v>
      </c>
      <c r="D27">
        <v>26</v>
      </c>
      <c r="E27" s="88" t="s">
        <v>350</v>
      </c>
    </row>
    <row r="28" spans="1:5">
      <c r="A28" s="3">
        <v>27</v>
      </c>
      <c r="C28" s="88" t="s">
        <v>349</v>
      </c>
      <c r="D28">
        <v>27</v>
      </c>
      <c r="E28" s="88" t="s">
        <v>350</v>
      </c>
    </row>
    <row r="29" spans="1:5">
      <c r="A29" s="3">
        <v>28</v>
      </c>
      <c r="C29" s="88" t="s">
        <v>349</v>
      </c>
      <c r="D29">
        <v>28</v>
      </c>
      <c r="E29" s="88" t="s">
        <v>350</v>
      </c>
    </row>
    <row r="30" spans="1:5">
      <c r="A30" s="3">
        <v>29</v>
      </c>
      <c r="C30" s="88" t="s">
        <v>349</v>
      </c>
      <c r="D30">
        <v>29</v>
      </c>
      <c r="E30" s="88" t="s">
        <v>350</v>
      </c>
    </row>
    <row r="31" spans="1:5">
      <c r="A31" s="3">
        <v>30</v>
      </c>
      <c r="C31" s="88" t="s">
        <v>349</v>
      </c>
      <c r="D31">
        <v>30</v>
      </c>
      <c r="E31" s="88" t="s">
        <v>350</v>
      </c>
    </row>
    <row r="32" spans="1:5">
      <c r="A32" s="3">
        <v>31</v>
      </c>
      <c r="C32" s="88" t="s">
        <v>349</v>
      </c>
      <c r="D32">
        <v>31</v>
      </c>
      <c r="E32" s="88" t="s">
        <v>350</v>
      </c>
    </row>
    <row r="33" spans="1:5">
      <c r="A33" s="3">
        <v>32</v>
      </c>
      <c r="C33" s="88" t="s">
        <v>349</v>
      </c>
      <c r="D33">
        <v>32</v>
      </c>
      <c r="E33" s="88" t="s">
        <v>350</v>
      </c>
    </row>
    <row r="34" spans="1:5">
      <c r="A34" s="3">
        <v>33</v>
      </c>
      <c r="C34" s="88" t="s">
        <v>349</v>
      </c>
      <c r="D34">
        <v>33</v>
      </c>
      <c r="E34" s="88" t="s">
        <v>350</v>
      </c>
    </row>
    <row r="35" spans="1:5">
      <c r="A35" s="3">
        <v>34</v>
      </c>
      <c r="C35" s="88" t="s">
        <v>349</v>
      </c>
      <c r="D35">
        <v>34</v>
      </c>
      <c r="E35" s="88" t="s">
        <v>350</v>
      </c>
    </row>
    <row r="36" spans="1:5">
      <c r="A36" s="3">
        <v>35</v>
      </c>
      <c r="C36" s="88" t="s">
        <v>349</v>
      </c>
      <c r="D36">
        <v>35</v>
      </c>
      <c r="E36" s="88" t="s">
        <v>350</v>
      </c>
    </row>
    <row r="37" spans="1:5">
      <c r="A37" s="3">
        <v>36</v>
      </c>
      <c r="C37" s="88" t="s">
        <v>349</v>
      </c>
      <c r="D37">
        <v>36</v>
      </c>
      <c r="E37" s="88" t="s">
        <v>350</v>
      </c>
    </row>
    <row r="38" spans="1:5">
      <c r="A38" s="3">
        <v>37</v>
      </c>
      <c r="C38" s="88" t="s">
        <v>349</v>
      </c>
      <c r="D38">
        <v>37</v>
      </c>
      <c r="E38" s="88" t="s">
        <v>350</v>
      </c>
    </row>
    <row r="39" spans="1:5">
      <c r="A39" s="3">
        <v>38</v>
      </c>
      <c r="C39" s="88" t="s">
        <v>349</v>
      </c>
      <c r="D39">
        <v>38</v>
      </c>
      <c r="E39" s="88" t="s">
        <v>350</v>
      </c>
    </row>
    <row r="40" spans="1:5">
      <c r="A40" s="3">
        <v>39</v>
      </c>
      <c r="C40" s="88" t="s">
        <v>349</v>
      </c>
      <c r="D40">
        <v>39</v>
      </c>
      <c r="E40" s="88" t="s">
        <v>350</v>
      </c>
    </row>
    <row r="41" spans="1:5">
      <c r="A41" s="3">
        <v>40</v>
      </c>
      <c r="C41" s="88" t="s">
        <v>349</v>
      </c>
      <c r="D41">
        <v>40</v>
      </c>
      <c r="E41" s="88" t="s">
        <v>350</v>
      </c>
    </row>
    <row r="42" spans="1:5">
      <c r="A42" s="3">
        <v>41</v>
      </c>
      <c r="C42" s="88" t="s">
        <v>349</v>
      </c>
      <c r="D42">
        <v>41</v>
      </c>
      <c r="E42" s="88" t="s">
        <v>350</v>
      </c>
    </row>
    <row r="43" spans="1:5">
      <c r="A43" s="3">
        <v>42</v>
      </c>
      <c r="C43" s="88" t="s">
        <v>349</v>
      </c>
      <c r="D43">
        <v>42</v>
      </c>
      <c r="E43" s="88" t="s">
        <v>350</v>
      </c>
    </row>
    <row r="44" spans="1:5">
      <c r="A44" s="3">
        <v>43</v>
      </c>
      <c r="C44" s="88" t="s">
        <v>349</v>
      </c>
      <c r="D44">
        <v>43</v>
      </c>
      <c r="E44" s="88" t="s">
        <v>350</v>
      </c>
    </row>
    <row r="45" spans="1:5">
      <c r="A45" s="3">
        <v>44</v>
      </c>
      <c r="C45" s="88" t="s">
        <v>349</v>
      </c>
      <c r="D45">
        <v>44</v>
      </c>
      <c r="E45" s="88" t="s">
        <v>350</v>
      </c>
    </row>
    <row r="46" spans="1:5">
      <c r="A46" s="3">
        <v>45</v>
      </c>
      <c r="C46" s="88" t="s">
        <v>349</v>
      </c>
      <c r="D46">
        <v>45</v>
      </c>
      <c r="E46" s="88" t="s">
        <v>350</v>
      </c>
    </row>
    <row r="47" spans="1:5">
      <c r="A47" s="3">
        <v>46</v>
      </c>
      <c r="C47" s="88" t="s">
        <v>349</v>
      </c>
      <c r="D47">
        <v>46</v>
      </c>
      <c r="E47" s="88" t="s">
        <v>350</v>
      </c>
    </row>
    <row r="48" spans="1:5">
      <c r="A48" s="3">
        <v>47</v>
      </c>
      <c r="C48" s="88" t="s">
        <v>349</v>
      </c>
      <c r="D48">
        <v>47</v>
      </c>
      <c r="E48" s="88" t="s">
        <v>350</v>
      </c>
    </row>
    <row r="49" spans="1:5">
      <c r="A49" s="3">
        <v>48</v>
      </c>
      <c r="C49" s="88" t="s">
        <v>349</v>
      </c>
      <c r="D49">
        <v>48</v>
      </c>
      <c r="E49" s="88" t="s">
        <v>350</v>
      </c>
    </row>
    <row r="50" spans="1:5">
      <c r="A50" s="3">
        <v>49</v>
      </c>
      <c r="C50" s="88" t="s">
        <v>349</v>
      </c>
      <c r="D50">
        <v>49</v>
      </c>
      <c r="E50" s="88" t="s">
        <v>350</v>
      </c>
    </row>
    <row r="51" spans="1:5">
      <c r="A51" s="3">
        <v>50</v>
      </c>
      <c r="C51" s="88" t="s">
        <v>349</v>
      </c>
      <c r="D51">
        <v>50</v>
      </c>
      <c r="E51" s="88" t="s">
        <v>350</v>
      </c>
    </row>
    <row r="52" spans="1:5">
      <c r="A52" s="3">
        <v>51</v>
      </c>
      <c r="C52" s="88" t="s">
        <v>349</v>
      </c>
      <c r="D52">
        <v>51</v>
      </c>
      <c r="E52" s="88" t="s">
        <v>350</v>
      </c>
    </row>
    <row r="53" spans="1:5">
      <c r="A53" s="3">
        <v>52</v>
      </c>
      <c r="C53" s="88" t="s">
        <v>349</v>
      </c>
      <c r="D53">
        <v>52</v>
      </c>
      <c r="E53" s="88" t="s">
        <v>350</v>
      </c>
    </row>
    <row r="54" spans="1:5">
      <c r="A54" s="3">
        <v>53</v>
      </c>
      <c r="C54" s="88" t="s">
        <v>349</v>
      </c>
      <c r="D54">
        <v>53</v>
      </c>
      <c r="E54" s="88" t="s">
        <v>350</v>
      </c>
    </row>
    <row r="55" spans="1:5">
      <c r="A55" s="3">
        <v>54</v>
      </c>
      <c r="C55" s="88" t="s">
        <v>349</v>
      </c>
      <c r="D55">
        <v>54</v>
      </c>
      <c r="E55" s="88" t="s">
        <v>350</v>
      </c>
    </row>
    <row r="56" spans="1:5">
      <c r="A56" s="3">
        <v>55</v>
      </c>
      <c r="C56" s="88" t="s">
        <v>349</v>
      </c>
      <c r="D56">
        <v>55</v>
      </c>
      <c r="E56" s="88" t="s">
        <v>350</v>
      </c>
    </row>
    <row r="57" spans="1:5">
      <c r="A57" s="3">
        <v>56</v>
      </c>
      <c r="C57" s="88" t="s">
        <v>349</v>
      </c>
      <c r="D57">
        <v>56</v>
      </c>
      <c r="E57" s="88" t="s">
        <v>350</v>
      </c>
    </row>
    <row r="58" spans="1:5">
      <c r="A58" s="3">
        <v>57</v>
      </c>
      <c r="C58" s="88" t="s">
        <v>349</v>
      </c>
      <c r="D58">
        <v>57</v>
      </c>
      <c r="E58" s="88" t="s">
        <v>350</v>
      </c>
    </row>
    <row r="59" spans="1:5">
      <c r="A59" s="3">
        <v>58</v>
      </c>
      <c r="C59" s="88" t="s">
        <v>349</v>
      </c>
      <c r="D59">
        <v>58</v>
      </c>
      <c r="E59" s="88" t="s">
        <v>350</v>
      </c>
    </row>
    <row r="60" spans="1:5">
      <c r="A60" s="3">
        <v>59</v>
      </c>
      <c r="C60" s="88" t="s">
        <v>349</v>
      </c>
      <c r="D60">
        <v>59</v>
      </c>
      <c r="E60" s="88" t="s">
        <v>350</v>
      </c>
    </row>
    <row r="61" spans="1:5">
      <c r="A61" s="3">
        <v>60</v>
      </c>
      <c r="C61" s="88" t="s">
        <v>349</v>
      </c>
      <c r="D61">
        <v>60</v>
      </c>
      <c r="E61" s="88" t="s">
        <v>350</v>
      </c>
    </row>
    <row r="62" spans="1:5">
      <c r="A62" s="3">
        <v>61</v>
      </c>
      <c r="C62" s="88" t="s">
        <v>349</v>
      </c>
      <c r="D62">
        <v>61</v>
      </c>
      <c r="E62" s="88" t="s">
        <v>350</v>
      </c>
    </row>
    <row r="63" spans="1:5">
      <c r="A63" s="3">
        <v>62</v>
      </c>
      <c r="C63" s="88" t="s">
        <v>349</v>
      </c>
      <c r="D63">
        <v>62</v>
      </c>
      <c r="E63" s="88" t="s">
        <v>350</v>
      </c>
    </row>
    <row r="64" spans="1:5">
      <c r="A64" s="3">
        <v>63</v>
      </c>
      <c r="C64" s="88" t="s">
        <v>349</v>
      </c>
      <c r="D64">
        <v>63</v>
      </c>
      <c r="E64" s="88" t="s">
        <v>350</v>
      </c>
    </row>
    <row r="65" spans="1:5">
      <c r="A65" s="3">
        <v>64</v>
      </c>
      <c r="C65" s="88" t="s">
        <v>349</v>
      </c>
      <c r="D65">
        <v>64</v>
      </c>
      <c r="E65" s="88" t="s">
        <v>350</v>
      </c>
    </row>
    <row r="66" spans="1:5">
      <c r="A66" s="3">
        <v>65</v>
      </c>
      <c r="C66" s="88" t="s">
        <v>349</v>
      </c>
      <c r="D66">
        <v>65</v>
      </c>
      <c r="E66" s="88" t="s">
        <v>350</v>
      </c>
    </row>
    <row r="67" spans="1:5">
      <c r="A67" s="3">
        <v>66</v>
      </c>
      <c r="C67" s="88" t="s">
        <v>349</v>
      </c>
      <c r="D67">
        <v>66</v>
      </c>
      <c r="E67" s="88" t="s">
        <v>350</v>
      </c>
    </row>
    <row r="68" spans="1:5">
      <c r="A68" s="3">
        <v>67</v>
      </c>
      <c r="C68" s="88" t="s">
        <v>349</v>
      </c>
      <c r="D68">
        <v>67</v>
      </c>
      <c r="E68" s="88" t="s">
        <v>350</v>
      </c>
    </row>
    <row r="69" spans="1:5">
      <c r="A69" s="3">
        <v>68</v>
      </c>
      <c r="C69" s="88" t="s">
        <v>349</v>
      </c>
      <c r="D69">
        <v>68</v>
      </c>
      <c r="E69" s="88" t="s">
        <v>350</v>
      </c>
    </row>
    <row r="70" spans="1:5">
      <c r="A70" s="3">
        <v>69</v>
      </c>
      <c r="C70" s="88" t="s">
        <v>349</v>
      </c>
      <c r="D70">
        <v>69</v>
      </c>
      <c r="E70" s="88" t="s">
        <v>350</v>
      </c>
    </row>
    <row r="71" spans="1:5">
      <c r="A71" s="3">
        <v>70</v>
      </c>
      <c r="C71" s="88" t="s">
        <v>349</v>
      </c>
      <c r="D71">
        <v>70</v>
      </c>
      <c r="E71" s="88" t="s">
        <v>350</v>
      </c>
    </row>
    <row r="72" spans="1:5">
      <c r="A72" s="3">
        <v>71</v>
      </c>
      <c r="C72" s="88" t="s">
        <v>349</v>
      </c>
      <c r="D72">
        <v>71</v>
      </c>
      <c r="E72" s="88" t="s">
        <v>350</v>
      </c>
    </row>
    <row r="73" spans="1:5">
      <c r="A73" s="3">
        <v>72</v>
      </c>
      <c r="C73" s="88" t="s">
        <v>349</v>
      </c>
      <c r="D73">
        <v>72</v>
      </c>
      <c r="E73" s="88" t="s">
        <v>350</v>
      </c>
    </row>
    <row r="74" spans="1:5">
      <c r="A74" s="3">
        <v>73</v>
      </c>
      <c r="C74" s="88" t="s">
        <v>349</v>
      </c>
      <c r="D74">
        <v>73</v>
      </c>
      <c r="E74" s="88" t="s">
        <v>350</v>
      </c>
    </row>
    <row r="75" spans="1:5">
      <c r="A75" s="3">
        <v>74</v>
      </c>
      <c r="C75" s="88" t="s">
        <v>349</v>
      </c>
      <c r="D75">
        <v>74</v>
      </c>
      <c r="E75" s="88" t="s">
        <v>350</v>
      </c>
    </row>
    <row r="76" spans="1:5">
      <c r="A76" s="3">
        <v>75</v>
      </c>
      <c r="C76" s="88" t="s">
        <v>349</v>
      </c>
      <c r="D76">
        <v>75</v>
      </c>
      <c r="E76" s="88" t="s">
        <v>350</v>
      </c>
    </row>
    <row r="77" spans="1:5">
      <c r="A77" s="3">
        <v>76</v>
      </c>
      <c r="C77" s="88" t="s">
        <v>349</v>
      </c>
      <c r="D77">
        <v>76</v>
      </c>
      <c r="E77" s="88" t="s">
        <v>350</v>
      </c>
    </row>
    <row r="78" spans="1:5">
      <c r="A78" s="3">
        <v>77</v>
      </c>
      <c r="C78" s="88" t="s">
        <v>349</v>
      </c>
      <c r="D78">
        <v>77</v>
      </c>
      <c r="E78" s="88" t="s">
        <v>350</v>
      </c>
    </row>
    <row r="79" spans="1:5">
      <c r="A79" s="3">
        <v>78</v>
      </c>
      <c r="C79" s="88" t="s">
        <v>349</v>
      </c>
      <c r="D79">
        <v>78</v>
      </c>
      <c r="E79" s="88" t="s">
        <v>350</v>
      </c>
    </row>
    <row r="80" spans="1:5">
      <c r="A80" s="3">
        <v>79</v>
      </c>
      <c r="C80" s="88" t="s">
        <v>349</v>
      </c>
      <c r="D80">
        <v>79</v>
      </c>
      <c r="E80" s="88" t="s">
        <v>350</v>
      </c>
    </row>
    <row r="81" spans="1:5">
      <c r="A81" s="3">
        <v>80</v>
      </c>
      <c r="C81" s="88" t="s">
        <v>349</v>
      </c>
      <c r="D81">
        <v>80</v>
      </c>
      <c r="E81" s="88" t="s">
        <v>350</v>
      </c>
    </row>
    <row r="82" spans="1:5">
      <c r="A82" s="3">
        <v>81</v>
      </c>
      <c r="C82" s="88" t="s">
        <v>349</v>
      </c>
      <c r="D82">
        <v>81</v>
      </c>
      <c r="E82" s="88" t="s">
        <v>350</v>
      </c>
    </row>
    <row r="83" spans="1:5">
      <c r="A83" s="3">
        <v>82</v>
      </c>
      <c r="C83" s="88" t="s">
        <v>349</v>
      </c>
      <c r="D83">
        <v>82</v>
      </c>
      <c r="E83" s="88" t="s">
        <v>350</v>
      </c>
    </row>
    <row r="84" spans="1:5">
      <c r="A84" s="3">
        <v>83</v>
      </c>
      <c r="C84" s="88" t="s">
        <v>349</v>
      </c>
      <c r="D84">
        <v>83</v>
      </c>
      <c r="E84" s="88" t="s">
        <v>350</v>
      </c>
    </row>
    <row r="85" spans="1:5">
      <c r="A85" s="3">
        <v>84</v>
      </c>
      <c r="C85" s="88" t="s">
        <v>349</v>
      </c>
      <c r="D85">
        <v>84</v>
      </c>
      <c r="E85" s="88" t="s">
        <v>350</v>
      </c>
    </row>
    <row r="86" spans="1:5">
      <c r="A86" s="3">
        <v>85</v>
      </c>
      <c r="C86" s="88" t="s">
        <v>349</v>
      </c>
      <c r="D86">
        <v>85</v>
      </c>
      <c r="E86" s="88" t="s">
        <v>350</v>
      </c>
    </row>
    <row r="87" spans="1:5">
      <c r="A87" s="3">
        <v>86</v>
      </c>
      <c r="C87" s="88" t="s">
        <v>349</v>
      </c>
      <c r="D87">
        <v>86</v>
      </c>
      <c r="E87" s="88" t="s">
        <v>350</v>
      </c>
    </row>
    <row r="88" spans="1:5">
      <c r="A88" s="3">
        <v>87</v>
      </c>
      <c r="C88" s="88" t="s">
        <v>349</v>
      </c>
      <c r="D88">
        <v>87</v>
      </c>
      <c r="E88" s="88" t="s">
        <v>350</v>
      </c>
    </row>
    <row r="89" spans="1:5">
      <c r="A89" s="3">
        <v>88</v>
      </c>
      <c r="C89" s="88" t="s">
        <v>349</v>
      </c>
      <c r="D89">
        <v>88</v>
      </c>
      <c r="E89" s="88" t="s">
        <v>350</v>
      </c>
    </row>
    <row r="90" spans="1:5">
      <c r="A90" s="3">
        <v>89</v>
      </c>
      <c r="C90" s="88" t="s">
        <v>349</v>
      </c>
      <c r="D90">
        <v>89</v>
      </c>
      <c r="E90" s="88" t="s">
        <v>350</v>
      </c>
    </row>
    <row r="91" spans="1:5">
      <c r="A91" s="3">
        <v>90</v>
      </c>
      <c r="C91" s="88" t="s">
        <v>349</v>
      </c>
      <c r="D91">
        <v>90</v>
      </c>
      <c r="E91" s="88" t="s">
        <v>350</v>
      </c>
    </row>
    <row r="92" spans="1:5">
      <c r="A92" s="3">
        <v>91</v>
      </c>
      <c r="C92" s="88" t="s">
        <v>349</v>
      </c>
      <c r="D92">
        <v>91</v>
      </c>
      <c r="E92" s="88" t="s">
        <v>350</v>
      </c>
    </row>
    <row r="93" spans="1:5">
      <c r="A93" s="3">
        <v>92</v>
      </c>
      <c r="C93" s="88" t="s">
        <v>349</v>
      </c>
      <c r="D93">
        <v>92</v>
      </c>
      <c r="E93" s="88" t="s">
        <v>350</v>
      </c>
    </row>
    <row r="94" spans="1:5">
      <c r="A94" s="3">
        <v>93</v>
      </c>
      <c r="C94" s="88" t="s">
        <v>349</v>
      </c>
      <c r="D94">
        <v>93</v>
      </c>
      <c r="E94" s="88" t="s">
        <v>350</v>
      </c>
    </row>
    <row r="95" spans="1:5">
      <c r="A95" s="3">
        <v>94</v>
      </c>
      <c r="C95" s="88" t="s">
        <v>349</v>
      </c>
      <c r="D95">
        <v>94</v>
      </c>
      <c r="E95" s="88" t="s">
        <v>350</v>
      </c>
    </row>
    <row r="96" spans="1:5">
      <c r="A96" s="3">
        <v>95</v>
      </c>
      <c r="C96" s="88" t="s">
        <v>349</v>
      </c>
      <c r="D96">
        <v>95</v>
      </c>
      <c r="E96" s="88" t="s">
        <v>350</v>
      </c>
    </row>
    <row r="97" spans="1:5">
      <c r="A97" s="3">
        <v>96</v>
      </c>
      <c r="C97" s="88" t="s">
        <v>349</v>
      </c>
      <c r="D97">
        <v>96</v>
      </c>
      <c r="E97" s="88" t="s">
        <v>350</v>
      </c>
    </row>
    <row r="98" spans="1:5">
      <c r="A98" s="3">
        <v>97</v>
      </c>
      <c r="C98" s="88" t="s">
        <v>349</v>
      </c>
      <c r="D98">
        <v>97</v>
      </c>
      <c r="E98" s="88" t="s">
        <v>350</v>
      </c>
    </row>
    <row r="99" spans="1:5">
      <c r="A99" s="3">
        <v>98</v>
      </c>
      <c r="C99" s="88" t="s">
        <v>349</v>
      </c>
      <c r="D99">
        <v>98</v>
      </c>
      <c r="E99" s="88" t="s">
        <v>350</v>
      </c>
    </row>
    <row r="100" spans="1:5">
      <c r="A100" s="3">
        <v>99</v>
      </c>
      <c r="C100" s="88" t="s">
        <v>349</v>
      </c>
      <c r="D100">
        <v>99</v>
      </c>
      <c r="E100" s="88" t="s">
        <v>350</v>
      </c>
    </row>
    <row r="101" spans="1:5">
      <c r="A101" s="3">
        <v>100</v>
      </c>
      <c r="C101" s="88" t="s">
        <v>349</v>
      </c>
      <c r="D101">
        <v>100</v>
      </c>
      <c r="E101" s="88" t="s">
        <v>350</v>
      </c>
    </row>
    <row r="102" spans="1:5">
      <c r="A102" s="3">
        <v>101</v>
      </c>
      <c r="C102" s="88" t="s">
        <v>349</v>
      </c>
      <c r="D102">
        <v>101</v>
      </c>
      <c r="E102" s="88" t="s">
        <v>350</v>
      </c>
    </row>
    <row r="103" spans="1:5">
      <c r="A103" s="3">
        <v>102</v>
      </c>
      <c r="C103" s="88" t="s">
        <v>349</v>
      </c>
      <c r="D103">
        <v>102</v>
      </c>
      <c r="E103" s="88" t="s">
        <v>350</v>
      </c>
    </row>
    <row r="104" spans="1:5">
      <c r="A104" s="3">
        <v>103</v>
      </c>
      <c r="C104" s="88" t="s">
        <v>349</v>
      </c>
      <c r="D104">
        <v>103</v>
      </c>
      <c r="E104" s="88" t="s">
        <v>350</v>
      </c>
    </row>
    <row r="105" spans="1:5">
      <c r="A105" s="3">
        <v>104</v>
      </c>
      <c r="C105" s="88" t="s">
        <v>349</v>
      </c>
      <c r="D105">
        <v>104</v>
      </c>
      <c r="E105" s="88" t="s">
        <v>350</v>
      </c>
    </row>
    <row r="106" spans="1:5">
      <c r="A106" s="3">
        <v>105</v>
      </c>
      <c r="C106" s="88" t="s">
        <v>349</v>
      </c>
      <c r="D106">
        <v>105</v>
      </c>
      <c r="E106" s="88" t="s">
        <v>350</v>
      </c>
    </row>
    <row r="107" spans="1:5">
      <c r="A107" s="3">
        <v>106</v>
      </c>
      <c r="C107" s="88" t="s">
        <v>349</v>
      </c>
      <c r="D107">
        <v>106</v>
      </c>
      <c r="E107" s="88" t="s">
        <v>350</v>
      </c>
    </row>
    <row r="108" spans="1:5">
      <c r="A108" s="3">
        <v>107</v>
      </c>
      <c r="C108" s="88" t="s">
        <v>349</v>
      </c>
      <c r="D108">
        <v>107</v>
      </c>
      <c r="E108" s="88" t="s">
        <v>350</v>
      </c>
    </row>
    <row r="109" spans="1:5">
      <c r="A109" s="3">
        <v>108</v>
      </c>
      <c r="C109" s="88" t="s">
        <v>349</v>
      </c>
      <c r="D109">
        <v>108</v>
      </c>
      <c r="E109" s="88" t="s">
        <v>350</v>
      </c>
    </row>
    <row r="110" spans="1:5">
      <c r="A110" s="3">
        <v>109</v>
      </c>
      <c r="C110" s="88" t="s">
        <v>349</v>
      </c>
      <c r="D110">
        <v>109</v>
      </c>
      <c r="E110" s="88" t="s">
        <v>350</v>
      </c>
    </row>
    <row r="111" spans="1:5">
      <c r="A111" s="3">
        <v>110</v>
      </c>
      <c r="C111" s="88" t="s">
        <v>349</v>
      </c>
      <c r="D111">
        <v>110</v>
      </c>
      <c r="E111" s="88" t="s">
        <v>350</v>
      </c>
    </row>
    <row r="112" spans="1:5">
      <c r="A112" s="3">
        <v>111</v>
      </c>
      <c r="C112" s="88" t="s">
        <v>349</v>
      </c>
      <c r="D112">
        <v>111</v>
      </c>
      <c r="E112" s="88" t="s">
        <v>350</v>
      </c>
    </row>
    <row r="113" spans="1:5">
      <c r="A113" s="3">
        <v>112</v>
      </c>
      <c r="C113" s="88" t="s">
        <v>349</v>
      </c>
      <c r="D113">
        <v>112</v>
      </c>
      <c r="E113" s="88" t="s">
        <v>350</v>
      </c>
    </row>
    <row r="114" spans="1:5">
      <c r="A114" s="3">
        <v>113</v>
      </c>
      <c r="C114" s="88" t="s">
        <v>349</v>
      </c>
      <c r="D114">
        <v>113</v>
      </c>
      <c r="E114" s="88" t="s">
        <v>350</v>
      </c>
    </row>
    <row r="115" spans="1:5">
      <c r="A115" s="3">
        <v>114</v>
      </c>
      <c r="C115" s="88" t="s">
        <v>349</v>
      </c>
      <c r="D115">
        <v>114</v>
      </c>
      <c r="E115" s="88" t="s">
        <v>350</v>
      </c>
    </row>
    <row r="116" spans="1:5">
      <c r="A116" s="3">
        <v>115</v>
      </c>
      <c r="C116" s="88" t="s">
        <v>349</v>
      </c>
      <c r="D116">
        <v>115</v>
      </c>
      <c r="E116" s="88" t="s">
        <v>350</v>
      </c>
    </row>
    <row r="117" spans="1:5">
      <c r="A117" s="3">
        <v>116</v>
      </c>
      <c r="C117" s="88" t="s">
        <v>349</v>
      </c>
      <c r="D117">
        <v>116</v>
      </c>
      <c r="E117" s="88" t="s">
        <v>350</v>
      </c>
    </row>
    <row r="118" spans="1:5">
      <c r="A118" s="3">
        <v>117</v>
      </c>
      <c r="C118" s="88" t="s">
        <v>349</v>
      </c>
      <c r="D118">
        <v>117</v>
      </c>
      <c r="E118" s="88" t="s">
        <v>350</v>
      </c>
    </row>
    <row r="119" spans="1:5">
      <c r="A119" s="3">
        <v>118</v>
      </c>
      <c r="C119" s="88" t="s">
        <v>349</v>
      </c>
      <c r="D119">
        <v>118</v>
      </c>
      <c r="E119" s="88" t="s">
        <v>350</v>
      </c>
    </row>
    <row r="120" spans="1:5">
      <c r="A120" s="3">
        <v>119</v>
      </c>
      <c r="C120" s="88" t="s">
        <v>349</v>
      </c>
      <c r="D120">
        <v>119</v>
      </c>
      <c r="E120" s="88" t="s">
        <v>350</v>
      </c>
    </row>
    <row r="121" spans="1:5">
      <c r="A121" s="3">
        <v>120</v>
      </c>
      <c r="C121" s="88" t="s">
        <v>349</v>
      </c>
      <c r="D121">
        <v>120</v>
      </c>
      <c r="E121" s="88" t="s">
        <v>350</v>
      </c>
    </row>
    <row r="122" spans="1:5">
      <c r="A122" s="3">
        <v>121</v>
      </c>
      <c r="C122" s="88" t="s">
        <v>349</v>
      </c>
      <c r="D122">
        <v>121</v>
      </c>
      <c r="E122" s="88" t="s">
        <v>350</v>
      </c>
    </row>
    <row r="123" spans="1:5">
      <c r="A123" s="3">
        <v>122</v>
      </c>
      <c r="C123" s="88" t="s">
        <v>349</v>
      </c>
      <c r="D123">
        <v>122</v>
      </c>
      <c r="E123" s="88" t="s">
        <v>350</v>
      </c>
    </row>
    <row r="124" spans="1:5">
      <c r="A124" s="3">
        <v>123</v>
      </c>
      <c r="C124" s="88" t="s">
        <v>349</v>
      </c>
      <c r="D124">
        <v>123</v>
      </c>
      <c r="E124" s="88" t="s">
        <v>350</v>
      </c>
    </row>
    <row r="125" spans="1:5">
      <c r="A125" s="3">
        <v>124</v>
      </c>
      <c r="C125" s="88" t="s">
        <v>349</v>
      </c>
      <c r="D125">
        <v>124</v>
      </c>
      <c r="E125" s="88" t="s">
        <v>350</v>
      </c>
    </row>
    <row r="126" spans="1:5">
      <c r="A126" s="3">
        <v>125</v>
      </c>
      <c r="C126" s="88" t="s">
        <v>349</v>
      </c>
      <c r="D126">
        <v>125</v>
      </c>
      <c r="E126" s="88" t="s">
        <v>350</v>
      </c>
    </row>
    <row r="127" spans="1:5">
      <c r="A127" s="3">
        <v>126</v>
      </c>
      <c r="C127" s="88" t="s">
        <v>349</v>
      </c>
      <c r="D127">
        <v>126</v>
      </c>
      <c r="E127" s="88" t="s">
        <v>350</v>
      </c>
    </row>
    <row r="128" spans="1:5">
      <c r="A128" s="3">
        <v>127</v>
      </c>
      <c r="C128" s="88" t="s">
        <v>349</v>
      </c>
      <c r="D128">
        <v>127</v>
      </c>
      <c r="E128" s="88" t="s">
        <v>350</v>
      </c>
    </row>
    <row r="129" spans="1:5">
      <c r="A129" s="3">
        <v>128</v>
      </c>
      <c r="C129" s="88" t="s">
        <v>349</v>
      </c>
      <c r="D129">
        <v>128</v>
      </c>
      <c r="E129" s="88" t="s">
        <v>350</v>
      </c>
    </row>
    <row r="130" spans="1:5">
      <c r="A130" s="3">
        <v>129</v>
      </c>
      <c r="C130" s="88" t="s">
        <v>349</v>
      </c>
      <c r="D130">
        <v>129</v>
      </c>
      <c r="E130" s="88" t="s">
        <v>350</v>
      </c>
    </row>
    <row r="131" spans="1:5">
      <c r="A131" s="3">
        <v>130</v>
      </c>
      <c r="C131" s="88" t="s">
        <v>349</v>
      </c>
      <c r="D131">
        <v>130</v>
      </c>
      <c r="E131" s="88" t="s">
        <v>350</v>
      </c>
    </row>
    <row r="132" spans="1:5">
      <c r="A132" s="3">
        <v>131</v>
      </c>
      <c r="C132" s="88" t="s">
        <v>349</v>
      </c>
      <c r="D132">
        <v>131</v>
      </c>
      <c r="E132" s="88" t="s">
        <v>350</v>
      </c>
    </row>
    <row r="133" spans="1:5">
      <c r="A133" s="3">
        <v>132</v>
      </c>
      <c r="C133" s="88" t="s">
        <v>349</v>
      </c>
      <c r="D133">
        <v>132</v>
      </c>
      <c r="E133" s="88" t="s">
        <v>350</v>
      </c>
    </row>
    <row r="134" spans="1:5">
      <c r="A134" s="3">
        <v>133</v>
      </c>
      <c r="C134" s="88" t="s">
        <v>349</v>
      </c>
      <c r="D134">
        <v>133</v>
      </c>
      <c r="E134" s="88" t="s">
        <v>350</v>
      </c>
    </row>
    <row r="135" spans="1:5">
      <c r="A135" s="3">
        <v>134</v>
      </c>
      <c r="C135" s="88" t="s">
        <v>349</v>
      </c>
      <c r="D135">
        <v>134</v>
      </c>
      <c r="E135" s="88" t="s">
        <v>350</v>
      </c>
    </row>
    <row r="136" spans="1:5">
      <c r="A136" s="3">
        <v>135</v>
      </c>
      <c r="C136" s="88" t="s">
        <v>349</v>
      </c>
      <c r="D136">
        <v>135</v>
      </c>
      <c r="E136" s="88" t="s">
        <v>350</v>
      </c>
    </row>
    <row r="137" spans="1:5">
      <c r="A137" s="3">
        <v>136</v>
      </c>
      <c r="C137" s="88" t="s">
        <v>349</v>
      </c>
      <c r="D137">
        <v>136</v>
      </c>
      <c r="E137" s="88" t="s">
        <v>350</v>
      </c>
    </row>
    <row r="138" spans="1:5">
      <c r="A138" s="3">
        <v>137</v>
      </c>
      <c r="C138" s="88" t="s">
        <v>349</v>
      </c>
      <c r="D138">
        <v>137</v>
      </c>
      <c r="E138" s="88" t="s">
        <v>350</v>
      </c>
    </row>
    <row r="139" spans="1:5">
      <c r="A139" s="3">
        <v>138</v>
      </c>
      <c r="C139" s="88" t="s">
        <v>349</v>
      </c>
      <c r="D139">
        <v>138</v>
      </c>
      <c r="E139" s="88" t="s">
        <v>350</v>
      </c>
    </row>
    <row r="140" spans="1:5">
      <c r="A140" s="3">
        <v>139</v>
      </c>
      <c r="C140" s="88" t="s">
        <v>349</v>
      </c>
      <c r="D140">
        <v>139</v>
      </c>
      <c r="E140" s="88" t="s">
        <v>350</v>
      </c>
    </row>
    <row r="141" spans="1:5">
      <c r="A141" s="3">
        <v>140</v>
      </c>
      <c r="C141" s="88" t="s">
        <v>349</v>
      </c>
      <c r="D141">
        <v>140</v>
      </c>
      <c r="E141" s="88" t="s">
        <v>350</v>
      </c>
    </row>
    <row r="142" spans="1:5">
      <c r="A142" s="3">
        <v>141</v>
      </c>
      <c r="C142" s="88" t="s">
        <v>349</v>
      </c>
      <c r="D142">
        <v>141</v>
      </c>
      <c r="E142" s="88" t="s">
        <v>350</v>
      </c>
    </row>
    <row r="143" spans="1:5">
      <c r="A143" s="3">
        <v>142</v>
      </c>
      <c r="C143" s="88" t="s">
        <v>349</v>
      </c>
      <c r="D143">
        <v>142</v>
      </c>
      <c r="E143" s="88" t="s">
        <v>350</v>
      </c>
    </row>
    <row r="144" spans="1:5">
      <c r="A144" s="3">
        <v>143</v>
      </c>
      <c r="C144" s="88" t="s">
        <v>349</v>
      </c>
      <c r="D144">
        <v>143</v>
      </c>
      <c r="E144" s="88" t="s">
        <v>350</v>
      </c>
    </row>
    <row r="145" spans="1:5">
      <c r="A145" s="3">
        <v>144</v>
      </c>
      <c r="C145" s="88" t="s">
        <v>349</v>
      </c>
      <c r="D145">
        <v>144</v>
      </c>
      <c r="E145" s="88" t="s">
        <v>350</v>
      </c>
    </row>
    <row r="146" spans="1:5">
      <c r="A146" s="3">
        <v>145</v>
      </c>
      <c r="C146" s="88" t="s">
        <v>349</v>
      </c>
      <c r="D146">
        <v>145</v>
      </c>
      <c r="E146" s="88" t="s">
        <v>350</v>
      </c>
    </row>
    <row r="147" spans="1:5">
      <c r="A147" s="3">
        <v>146</v>
      </c>
      <c r="C147" s="88" t="s">
        <v>349</v>
      </c>
      <c r="D147">
        <v>146</v>
      </c>
      <c r="E147" s="88" t="s">
        <v>350</v>
      </c>
    </row>
    <row r="148" spans="1:5">
      <c r="A148" s="3">
        <v>147</v>
      </c>
      <c r="C148" s="88" t="s">
        <v>349</v>
      </c>
      <c r="D148">
        <v>147</v>
      </c>
      <c r="E148" s="88" t="s">
        <v>350</v>
      </c>
    </row>
    <row r="149" spans="1:5">
      <c r="A149" s="3">
        <v>148</v>
      </c>
      <c r="C149" s="88" t="s">
        <v>349</v>
      </c>
      <c r="D149">
        <v>148</v>
      </c>
      <c r="E149" s="88" t="s">
        <v>350</v>
      </c>
    </row>
    <row r="150" spans="1:5">
      <c r="A150" s="3">
        <v>149</v>
      </c>
      <c r="C150" s="88" t="s">
        <v>349</v>
      </c>
      <c r="D150">
        <v>149</v>
      </c>
      <c r="E150" s="88" t="s">
        <v>350</v>
      </c>
    </row>
    <row r="151" spans="1:5">
      <c r="A151" s="3">
        <v>150</v>
      </c>
      <c r="C151" s="88" t="s">
        <v>349</v>
      </c>
      <c r="D151">
        <v>150</v>
      </c>
      <c r="E151" s="88" t="s">
        <v>350</v>
      </c>
    </row>
    <row r="152" spans="1:5">
      <c r="A152" s="3">
        <v>151</v>
      </c>
      <c r="C152" s="88" t="s">
        <v>349</v>
      </c>
      <c r="D152">
        <v>151</v>
      </c>
      <c r="E152" s="88" t="s">
        <v>350</v>
      </c>
    </row>
    <row r="153" spans="1:5">
      <c r="A153" s="3">
        <v>152</v>
      </c>
      <c r="C153" s="88" t="s">
        <v>349</v>
      </c>
      <c r="D153">
        <v>152</v>
      </c>
      <c r="E153" s="88" t="s">
        <v>350</v>
      </c>
    </row>
    <row r="154" spans="1:5">
      <c r="A154" s="3">
        <v>153</v>
      </c>
      <c r="C154" s="88" t="s">
        <v>349</v>
      </c>
      <c r="D154">
        <v>153</v>
      </c>
      <c r="E154" s="88" t="s">
        <v>350</v>
      </c>
    </row>
    <row r="155" spans="1:5">
      <c r="A155" s="3">
        <v>154</v>
      </c>
      <c r="C155" s="88" t="s">
        <v>349</v>
      </c>
      <c r="D155">
        <v>154</v>
      </c>
      <c r="E155" s="88" t="s">
        <v>350</v>
      </c>
    </row>
    <row r="156" spans="1:5">
      <c r="A156" s="3">
        <v>155</v>
      </c>
      <c r="C156" s="88" t="s">
        <v>349</v>
      </c>
      <c r="D156">
        <v>155</v>
      </c>
      <c r="E156" s="88" t="s">
        <v>350</v>
      </c>
    </row>
    <row r="157" spans="1:5">
      <c r="A157" s="3">
        <v>156</v>
      </c>
      <c r="C157" s="88" t="s">
        <v>349</v>
      </c>
      <c r="D157">
        <v>156</v>
      </c>
      <c r="E157" s="88" t="s">
        <v>350</v>
      </c>
    </row>
    <row r="158" spans="1:5">
      <c r="A158" s="3">
        <v>157</v>
      </c>
      <c r="C158" s="88" t="s">
        <v>349</v>
      </c>
      <c r="D158">
        <v>157</v>
      </c>
      <c r="E158" s="88" t="s">
        <v>350</v>
      </c>
    </row>
    <row r="159" spans="1:5">
      <c r="A159" s="3">
        <v>158</v>
      </c>
      <c r="C159" s="88" t="s">
        <v>349</v>
      </c>
      <c r="D159">
        <v>158</v>
      </c>
      <c r="E159" s="88" t="s">
        <v>350</v>
      </c>
    </row>
    <row r="160" spans="1:5">
      <c r="A160" s="3">
        <v>159</v>
      </c>
      <c r="C160" s="88" t="s">
        <v>349</v>
      </c>
      <c r="D160">
        <v>159</v>
      </c>
      <c r="E160" s="88" t="s">
        <v>350</v>
      </c>
    </row>
    <row r="161" spans="1:5">
      <c r="A161" s="3">
        <v>160</v>
      </c>
      <c r="C161" s="88" t="s">
        <v>349</v>
      </c>
      <c r="D161">
        <v>160</v>
      </c>
      <c r="E161" s="88" t="s">
        <v>350</v>
      </c>
    </row>
    <row r="162" spans="1:5">
      <c r="A162" s="3">
        <v>161</v>
      </c>
      <c r="C162" s="88" t="s">
        <v>349</v>
      </c>
      <c r="D162">
        <v>161</v>
      </c>
      <c r="E162" s="88" t="s">
        <v>350</v>
      </c>
    </row>
    <row r="163" spans="1:5">
      <c r="A163" s="3">
        <v>162</v>
      </c>
      <c r="C163" s="88" t="s">
        <v>349</v>
      </c>
      <c r="D163">
        <v>162</v>
      </c>
      <c r="E163" s="88" t="s">
        <v>350</v>
      </c>
    </row>
    <row r="164" spans="1:5">
      <c r="A164" s="3">
        <v>163</v>
      </c>
      <c r="C164" s="88" t="s">
        <v>349</v>
      </c>
      <c r="D164">
        <v>163</v>
      </c>
      <c r="E164" s="88" t="s">
        <v>350</v>
      </c>
    </row>
    <row r="165" spans="1:5">
      <c r="A165" s="3">
        <v>164</v>
      </c>
      <c r="C165" s="88" t="s">
        <v>349</v>
      </c>
      <c r="D165">
        <v>164</v>
      </c>
      <c r="E165" s="88" t="s">
        <v>350</v>
      </c>
    </row>
    <row r="166" spans="1:5">
      <c r="A166" s="3">
        <v>165</v>
      </c>
      <c r="C166" s="88" t="s">
        <v>349</v>
      </c>
      <c r="D166">
        <v>165</v>
      </c>
      <c r="E166" s="88" t="s">
        <v>350</v>
      </c>
    </row>
    <row r="167" spans="1:5">
      <c r="A167" s="3">
        <v>166</v>
      </c>
      <c r="C167" s="88" t="s">
        <v>349</v>
      </c>
      <c r="D167">
        <v>166</v>
      </c>
      <c r="E167" s="88" t="s">
        <v>350</v>
      </c>
    </row>
    <row r="168" spans="1:5">
      <c r="A168" s="3">
        <v>167</v>
      </c>
      <c r="C168" s="88" t="s">
        <v>349</v>
      </c>
      <c r="D168">
        <v>167</v>
      </c>
      <c r="E168" s="88" t="s">
        <v>350</v>
      </c>
    </row>
    <row r="169" spans="1:5">
      <c r="A169" s="3">
        <v>168</v>
      </c>
      <c r="C169" s="88" t="s">
        <v>349</v>
      </c>
      <c r="D169">
        <v>168</v>
      </c>
      <c r="E169" s="88" t="s">
        <v>350</v>
      </c>
    </row>
    <row r="170" spans="1:5">
      <c r="A170" s="3">
        <v>169</v>
      </c>
      <c r="C170" s="88" t="s">
        <v>349</v>
      </c>
      <c r="D170">
        <v>169</v>
      </c>
      <c r="E170" s="88" t="s">
        <v>350</v>
      </c>
    </row>
    <row r="171" spans="1:5">
      <c r="A171" s="3">
        <v>170</v>
      </c>
      <c r="C171" s="88" t="s">
        <v>349</v>
      </c>
      <c r="D171">
        <v>170</v>
      </c>
      <c r="E171" s="88" t="s">
        <v>350</v>
      </c>
    </row>
    <row r="172" spans="1:5">
      <c r="A172" s="3">
        <v>171</v>
      </c>
      <c r="C172" s="88" t="s">
        <v>349</v>
      </c>
      <c r="D172">
        <v>171</v>
      </c>
      <c r="E172" s="88" t="s">
        <v>350</v>
      </c>
    </row>
    <row r="173" spans="1:5">
      <c r="A173" s="3">
        <v>172</v>
      </c>
      <c r="C173" s="88" t="s">
        <v>349</v>
      </c>
      <c r="D173">
        <v>172</v>
      </c>
      <c r="E173" s="88" t="s">
        <v>350</v>
      </c>
    </row>
    <row r="174" spans="1:5">
      <c r="A174" s="3">
        <v>173</v>
      </c>
      <c r="C174" s="88" t="s">
        <v>349</v>
      </c>
      <c r="D174">
        <v>173</v>
      </c>
      <c r="E174" s="88" t="s">
        <v>350</v>
      </c>
    </row>
    <row r="175" spans="1:5">
      <c r="A175" s="3">
        <v>174</v>
      </c>
      <c r="C175" s="88" t="s">
        <v>349</v>
      </c>
      <c r="D175">
        <v>174</v>
      </c>
      <c r="E175" s="88" t="s">
        <v>350</v>
      </c>
    </row>
    <row r="176" spans="1:5">
      <c r="A176" s="3">
        <v>175</v>
      </c>
      <c r="C176" s="88" t="s">
        <v>349</v>
      </c>
      <c r="D176">
        <v>175</v>
      </c>
      <c r="E176" s="88" t="s">
        <v>350</v>
      </c>
    </row>
    <row r="177" spans="1:5">
      <c r="A177" s="3">
        <v>176</v>
      </c>
      <c r="C177" s="88" t="s">
        <v>349</v>
      </c>
      <c r="D177">
        <v>176</v>
      </c>
      <c r="E177" s="88" t="s">
        <v>350</v>
      </c>
    </row>
    <row r="178" spans="1:5">
      <c r="A178" s="3">
        <v>177</v>
      </c>
      <c r="C178" s="88" t="s">
        <v>349</v>
      </c>
      <c r="D178">
        <v>177</v>
      </c>
      <c r="E178" s="88" t="s">
        <v>350</v>
      </c>
    </row>
    <row r="179" spans="1:5">
      <c r="A179" s="3">
        <v>178</v>
      </c>
      <c r="C179" s="88" t="s">
        <v>349</v>
      </c>
      <c r="D179">
        <v>178</v>
      </c>
      <c r="E179" s="88" t="s">
        <v>350</v>
      </c>
    </row>
    <row r="180" spans="1:5">
      <c r="A180" s="3">
        <v>179</v>
      </c>
      <c r="C180" s="88" t="s">
        <v>349</v>
      </c>
      <c r="D180">
        <v>179</v>
      </c>
      <c r="E180" s="88" t="s">
        <v>350</v>
      </c>
    </row>
    <row r="181" spans="1:5">
      <c r="A181" s="3">
        <v>180</v>
      </c>
      <c r="C181" s="88" t="s">
        <v>349</v>
      </c>
      <c r="D181">
        <v>180</v>
      </c>
      <c r="E181" s="88" t="s">
        <v>350</v>
      </c>
    </row>
    <row r="182" spans="1:5">
      <c r="A182" s="3">
        <v>181</v>
      </c>
      <c r="C182" s="88" t="s">
        <v>349</v>
      </c>
      <c r="D182">
        <v>181</v>
      </c>
      <c r="E182" s="88" t="s">
        <v>350</v>
      </c>
    </row>
    <row r="183" spans="1:5">
      <c r="A183" s="3">
        <v>182</v>
      </c>
      <c r="C183" s="88" t="s">
        <v>349</v>
      </c>
      <c r="D183">
        <v>182</v>
      </c>
      <c r="E183" s="88" t="s">
        <v>350</v>
      </c>
    </row>
    <row r="184" spans="1:5">
      <c r="A184" s="3">
        <v>183</v>
      </c>
      <c r="C184" s="88" t="s">
        <v>349</v>
      </c>
      <c r="D184">
        <v>183</v>
      </c>
      <c r="E184" s="88" t="s">
        <v>350</v>
      </c>
    </row>
    <row r="185" spans="1:5">
      <c r="A185" s="3">
        <v>184</v>
      </c>
      <c r="C185" s="88" t="s">
        <v>349</v>
      </c>
      <c r="D185">
        <v>184</v>
      </c>
      <c r="E185" s="88" t="s">
        <v>350</v>
      </c>
    </row>
    <row r="186" spans="1:5">
      <c r="A186" s="3">
        <v>185</v>
      </c>
      <c r="C186" s="88" t="s">
        <v>349</v>
      </c>
      <c r="D186">
        <v>185</v>
      </c>
      <c r="E186" s="88" t="s">
        <v>350</v>
      </c>
    </row>
    <row r="187" spans="1:5">
      <c r="A187" s="3">
        <v>186</v>
      </c>
      <c r="C187" s="88" t="s">
        <v>349</v>
      </c>
      <c r="D187">
        <v>186</v>
      </c>
      <c r="E187" s="88" t="s">
        <v>350</v>
      </c>
    </row>
    <row r="188" spans="1:5">
      <c r="A188" s="3">
        <v>187</v>
      </c>
      <c r="C188" s="88" t="s">
        <v>349</v>
      </c>
      <c r="D188">
        <v>187</v>
      </c>
      <c r="E188" s="88" t="s">
        <v>350</v>
      </c>
    </row>
    <row r="189" spans="1:5">
      <c r="A189" s="3">
        <v>188</v>
      </c>
      <c r="C189" s="88" t="s">
        <v>349</v>
      </c>
      <c r="D189">
        <v>188</v>
      </c>
      <c r="E189" s="88" t="s">
        <v>350</v>
      </c>
    </row>
    <row r="190" spans="1:5">
      <c r="A190" s="3">
        <v>189</v>
      </c>
      <c r="C190" s="88" t="s">
        <v>349</v>
      </c>
      <c r="D190">
        <v>189</v>
      </c>
      <c r="E190" s="88" t="s">
        <v>350</v>
      </c>
    </row>
    <row r="191" spans="1:5">
      <c r="A191" s="3">
        <v>190</v>
      </c>
      <c r="C191" s="88" t="s">
        <v>349</v>
      </c>
      <c r="D191">
        <v>190</v>
      </c>
      <c r="E191" s="88" t="s">
        <v>350</v>
      </c>
    </row>
    <row r="192" spans="1:5">
      <c r="A192" s="3">
        <v>191</v>
      </c>
      <c r="C192" s="88" t="s">
        <v>349</v>
      </c>
      <c r="D192">
        <v>191</v>
      </c>
      <c r="E192" s="88" t="s">
        <v>350</v>
      </c>
    </row>
    <row r="193" spans="1:5">
      <c r="A193" s="3">
        <v>192</v>
      </c>
      <c r="C193" s="88" t="s">
        <v>349</v>
      </c>
      <c r="D193">
        <v>192</v>
      </c>
      <c r="E193" s="88" t="s">
        <v>350</v>
      </c>
    </row>
    <row r="194" spans="1:5">
      <c r="A194" s="3">
        <v>193</v>
      </c>
      <c r="C194" s="88" t="s">
        <v>349</v>
      </c>
      <c r="D194">
        <v>193</v>
      </c>
      <c r="E194" s="88" t="s">
        <v>350</v>
      </c>
    </row>
    <row r="195" spans="1:5">
      <c r="A195" s="3">
        <v>194</v>
      </c>
      <c r="C195" s="88" t="s">
        <v>349</v>
      </c>
      <c r="D195">
        <v>194</v>
      </c>
      <c r="E195" s="88" t="s">
        <v>350</v>
      </c>
    </row>
    <row r="196" spans="1:5">
      <c r="A196" s="3">
        <v>195</v>
      </c>
      <c r="C196" s="88" t="s">
        <v>349</v>
      </c>
      <c r="D196">
        <v>195</v>
      </c>
      <c r="E196" s="88" t="s">
        <v>350</v>
      </c>
    </row>
    <row r="197" spans="1:5">
      <c r="A197" s="3">
        <v>196</v>
      </c>
      <c r="C197" s="88" t="s">
        <v>349</v>
      </c>
      <c r="D197">
        <v>196</v>
      </c>
      <c r="E197" s="88" t="s">
        <v>350</v>
      </c>
    </row>
    <row r="198" spans="1:5">
      <c r="A198" s="3">
        <v>197</v>
      </c>
      <c r="C198" s="88" t="s">
        <v>349</v>
      </c>
      <c r="D198">
        <v>197</v>
      </c>
      <c r="E198" s="88" t="s">
        <v>350</v>
      </c>
    </row>
    <row r="199" spans="1:5">
      <c r="A199" s="3">
        <v>198</v>
      </c>
      <c r="C199" s="88" t="s">
        <v>349</v>
      </c>
      <c r="D199">
        <v>198</v>
      </c>
      <c r="E199" s="88" t="s">
        <v>350</v>
      </c>
    </row>
    <row r="200" spans="1:5">
      <c r="A200" s="3">
        <v>199</v>
      </c>
      <c r="C200" s="88" t="s">
        <v>349</v>
      </c>
      <c r="D200">
        <v>199</v>
      </c>
      <c r="E200" s="88" t="s">
        <v>350</v>
      </c>
    </row>
    <row r="201" spans="1:5">
      <c r="A201" s="3">
        <v>200</v>
      </c>
      <c r="C201" s="88" t="s">
        <v>349</v>
      </c>
      <c r="D201">
        <v>200</v>
      </c>
      <c r="E201" s="88" t="s">
        <v>350</v>
      </c>
    </row>
    <row r="202" spans="1:5">
      <c r="A202" s="3">
        <v>201</v>
      </c>
      <c r="C202" s="88" t="s">
        <v>349</v>
      </c>
      <c r="D202">
        <v>201</v>
      </c>
      <c r="E202" s="88" t="s">
        <v>350</v>
      </c>
    </row>
    <row r="203" spans="1:5">
      <c r="A203" s="3">
        <v>202</v>
      </c>
      <c r="C203" s="88" t="s">
        <v>349</v>
      </c>
      <c r="D203">
        <v>202</v>
      </c>
      <c r="E203" s="88" t="s">
        <v>350</v>
      </c>
    </row>
    <row r="204" spans="1:5">
      <c r="A204" s="3">
        <v>203</v>
      </c>
      <c r="C204" s="88" t="s">
        <v>349</v>
      </c>
      <c r="D204">
        <v>203</v>
      </c>
      <c r="E204" s="88" t="s">
        <v>350</v>
      </c>
    </row>
    <row r="205" spans="1:5">
      <c r="A205" s="3">
        <v>204</v>
      </c>
      <c r="C205" s="88" t="s">
        <v>349</v>
      </c>
      <c r="D205">
        <v>204</v>
      </c>
      <c r="E205" s="88" t="s">
        <v>350</v>
      </c>
    </row>
    <row r="206" spans="1:5">
      <c r="A206" s="3">
        <v>205</v>
      </c>
      <c r="C206" s="88" t="s">
        <v>349</v>
      </c>
      <c r="D206">
        <v>205</v>
      </c>
      <c r="E206" s="88" t="s">
        <v>350</v>
      </c>
    </row>
    <row r="207" spans="1:5">
      <c r="A207" s="3">
        <v>206</v>
      </c>
      <c r="C207" s="88" t="s">
        <v>349</v>
      </c>
      <c r="D207">
        <v>206</v>
      </c>
      <c r="E207" s="88" t="s">
        <v>350</v>
      </c>
    </row>
    <row r="208" spans="1:5">
      <c r="A208" s="3">
        <v>207</v>
      </c>
      <c r="C208" s="88" t="s">
        <v>349</v>
      </c>
      <c r="D208">
        <v>207</v>
      </c>
      <c r="E208" s="88" t="s">
        <v>350</v>
      </c>
    </row>
    <row r="209" spans="1:5">
      <c r="A209" s="3">
        <v>208</v>
      </c>
      <c r="C209" s="88" t="s">
        <v>349</v>
      </c>
      <c r="D209">
        <v>208</v>
      </c>
      <c r="E209" s="88" t="s">
        <v>350</v>
      </c>
    </row>
    <row r="210" spans="1:5">
      <c r="A210" s="3">
        <v>209</v>
      </c>
      <c r="C210" s="88" t="s">
        <v>349</v>
      </c>
      <c r="D210">
        <v>209</v>
      </c>
      <c r="E210" s="88" t="s">
        <v>350</v>
      </c>
    </row>
    <row r="211" spans="1:5">
      <c r="A211" s="3">
        <v>210</v>
      </c>
      <c r="C211" s="88" t="s">
        <v>349</v>
      </c>
      <c r="D211">
        <v>210</v>
      </c>
      <c r="E211" s="88" t="s">
        <v>350</v>
      </c>
    </row>
    <row r="212" spans="1:5">
      <c r="A212" s="3">
        <v>211</v>
      </c>
      <c r="C212" s="88" t="s">
        <v>349</v>
      </c>
      <c r="D212">
        <v>211</v>
      </c>
      <c r="E212" s="88" t="s">
        <v>350</v>
      </c>
    </row>
    <row r="213" spans="1:5">
      <c r="A213" s="3">
        <v>212</v>
      </c>
      <c r="C213" s="88" t="s">
        <v>349</v>
      </c>
      <c r="D213">
        <v>212</v>
      </c>
      <c r="E213" s="88" t="s">
        <v>350</v>
      </c>
    </row>
    <row r="214" spans="1:5">
      <c r="A214" s="3">
        <v>213</v>
      </c>
      <c r="C214" s="88" t="s">
        <v>349</v>
      </c>
      <c r="D214">
        <v>213</v>
      </c>
      <c r="E214" s="88" t="s">
        <v>350</v>
      </c>
    </row>
    <row r="215" spans="1:5">
      <c r="A215" s="3">
        <v>214</v>
      </c>
      <c r="C215" s="88" t="s">
        <v>349</v>
      </c>
      <c r="D215">
        <v>214</v>
      </c>
      <c r="E215" s="88" t="s">
        <v>350</v>
      </c>
    </row>
    <row r="216" spans="1:5">
      <c r="A216" s="3">
        <v>215</v>
      </c>
      <c r="C216" s="88" t="s">
        <v>349</v>
      </c>
      <c r="D216">
        <v>215</v>
      </c>
      <c r="E216" s="88" t="s">
        <v>350</v>
      </c>
    </row>
    <row r="217" spans="1:5">
      <c r="A217" s="3">
        <v>216</v>
      </c>
      <c r="C217" s="88" t="s">
        <v>349</v>
      </c>
      <c r="D217">
        <v>216</v>
      </c>
      <c r="E217" s="88" t="s">
        <v>350</v>
      </c>
    </row>
    <row r="218" spans="1:5">
      <c r="A218" s="3">
        <v>217</v>
      </c>
      <c r="C218" s="88" t="s">
        <v>349</v>
      </c>
      <c r="D218">
        <v>217</v>
      </c>
      <c r="E218" s="88" t="s">
        <v>350</v>
      </c>
    </row>
    <row r="219" spans="1:5">
      <c r="A219" s="3">
        <v>218</v>
      </c>
      <c r="C219" s="88" t="s">
        <v>349</v>
      </c>
      <c r="D219">
        <v>218</v>
      </c>
      <c r="E219" s="88" t="s">
        <v>350</v>
      </c>
    </row>
    <row r="220" spans="1:5">
      <c r="A220" s="3">
        <v>219</v>
      </c>
      <c r="C220" s="88" t="s">
        <v>349</v>
      </c>
      <c r="D220">
        <v>219</v>
      </c>
      <c r="E220" s="88" t="s">
        <v>350</v>
      </c>
    </row>
    <row r="221" spans="1:5">
      <c r="A221" s="3">
        <v>220</v>
      </c>
      <c r="C221" s="88" t="s">
        <v>349</v>
      </c>
      <c r="D221">
        <v>220</v>
      </c>
      <c r="E221" s="88" t="s">
        <v>350</v>
      </c>
    </row>
    <row r="222" spans="1:5">
      <c r="A222" s="3">
        <v>221</v>
      </c>
      <c r="C222" s="88" t="s">
        <v>349</v>
      </c>
      <c r="D222">
        <v>221</v>
      </c>
      <c r="E222" s="88" t="s">
        <v>350</v>
      </c>
    </row>
    <row r="223" spans="1:5">
      <c r="A223" s="3">
        <v>222</v>
      </c>
      <c r="C223" s="88" t="s">
        <v>349</v>
      </c>
      <c r="D223">
        <v>222</v>
      </c>
      <c r="E223" s="88" t="s">
        <v>350</v>
      </c>
    </row>
    <row r="224" spans="1:5">
      <c r="A224" s="3">
        <v>223</v>
      </c>
      <c r="C224" s="88" t="s">
        <v>349</v>
      </c>
      <c r="D224">
        <v>223</v>
      </c>
      <c r="E224" s="88" t="s">
        <v>350</v>
      </c>
    </row>
    <row r="225" spans="1:5">
      <c r="A225" s="3">
        <v>224</v>
      </c>
      <c r="C225" s="88" t="s">
        <v>349</v>
      </c>
      <c r="D225">
        <v>224</v>
      </c>
      <c r="E225" s="88" t="s">
        <v>350</v>
      </c>
    </row>
    <row r="226" spans="1:5">
      <c r="A226" s="3">
        <v>225</v>
      </c>
      <c r="C226" s="88" t="s">
        <v>349</v>
      </c>
      <c r="D226">
        <v>225</v>
      </c>
      <c r="E226" s="88" t="s">
        <v>350</v>
      </c>
    </row>
    <row r="227" spans="1:5">
      <c r="A227" s="3">
        <v>226</v>
      </c>
      <c r="C227" s="88" t="s">
        <v>349</v>
      </c>
      <c r="D227">
        <v>226</v>
      </c>
      <c r="E227" s="88" t="s">
        <v>350</v>
      </c>
    </row>
    <row r="228" spans="1:5">
      <c r="A228" s="3">
        <v>227</v>
      </c>
      <c r="C228" s="88" t="s">
        <v>349</v>
      </c>
      <c r="D228">
        <v>227</v>
      </c>
      <c r="E228" s="88" t="s">
        <v>350</v>
      </c>
    </row>
    <row r="229" spans="1:5">
      <c r="A229" s="3">
        <v>228</v>
      </c>
      <c r="C229" s="88" t="s">
        <v>349</v>
      </c>
      <c r="D229">
        <v>228</v>
      </c>
      <c r="E229" s="88" t="s">
        <v>350</v>
      </c>
    </row>
    <row r="230" spans="1:5">
      <c r="A230" s="3">
        <v>229</v>
      </c>
      <c r="C230" s="88" t="s">
        <v>349</v>
      </c>
      <c r="D230">
        <v>229</v>
      </c>
      <c r="E230" s="88" t="s">
        <v>350</v>
      </c>
    </row>
    <row r="231" spans="1:5">
      <c r="A231" s="3">
        <v>230</v>
      </c>
      <c r="C231" s="88" t="s">
        <v>349</v>
      </c>
      <c r="D231">
        <v>230</v>
      </c>
      <c r="E231" s="88" t="s">
        <v>350</v>
      </c>
    </row>
    <row r="232" spans="1:5">
      <c r="A232" s="3">
        <v>231</v>
      </c>
      <c r="C232" s="88" t="s">
        <v>349</v>
      </c>
      <c r="D232">
        <v>231</v>
      </c>
      <c r="E232" s="88" t="s">
        <v>350</v>
      </c>
    </row>
    <row r="233" spans="1:5">
      <c r="A233" s="3">
        <v>232</v>
      </c>
      <c r="C233" s="88" t="s">
        <v>349</v>
      </c>
      <c r="D233">
        <v>232</v>
      </c>
      <c r="E233" s="88" t="s">
        <v>350</v>
      </c>
    </row>
    <row r="234" spans="1:5">
      <c r="A234" s="3">
        <v>233</v>
      </c>
      <c r="C234" s="88" t="s">
        <v>349</v>
      </c>
      <c r="D234">
        <v>233</v>
      </c>
      <c r="E234" s="88" t="s">
        <v>350</v>
      </c>
    </row>
    <row r="235" spans="1:5">
      <c r="A235" s="3">
        <v>234</v>
      </c>
      <c r="C235" s="88" t="s">
        <v>349</v>
      </c>
      <c r="D235">
        <v>234</v>
      </c>
      <c r="E235" s="88" t="s">
        <v>350</v>
      </c>
    </row>
    <row r="236" spans="1:5">
      <c r="A236" s="3">
        <v>235</v>
      </c>
      <c r="C236" s="88" t="s">
        <v>349</v>
      </c>
      <c r="D236">
        <v>235</v>
      </c>
      <c r="E236" s="88" t="s">
        <v>350</v>
      </c>
    </row>
    <row r="237" spans="1:5">
      <c r="A237" s="3">
        <v>236</v>
      </c>
      <c r="C237" s="88" t="s">
        <v>349</v>
      </c>
      <c r="D237">
        <v>236</v>
      </c>
      <c r="E237" s="88" t="s">
        <v>350</v>
      </c>
    </row>
    <row r="238" spans="1:5">
      <c r="A238" s="3">
        <v>237</v>
      </c>
      <c r="C238" s="88" t="s">
        <v>349</v>
      </c>
      <c r="D238">
        <v>237</v>
      </c>
      <c r="E238" s="88" t="s">
        <v>350</v>
      </c>
    </row>
    <row r="239" spans="1:5">
      <c r="A239" s="3">
        <v>238</v>
      </c>
      <c r="C239" s="88" t="s">
        <v>349</v>
      </c>
      <c r="D239">
        <v>238</v>
      </c>
      <c r="E239" s="88" t="s">
        <v>350</v>
      </c>
    </row>
    <row r="240" spans="1:5">
      <c r="A240" s="3">
        <v>239</v>
      </c>
      <c r="C240" s="88" t="s">
        <v>349</v>
      </c>
      <c r="D240">
        <v>239</v>
      </c>
      <c r="E240" s="88" t="s">
        <v>350</v>
      </c>
    </row>
    <row r="241" spans="1:5">
      <c r="A241" s="3">
        <v>240</v>
      </c>
      <c r="C241" s="88" t="s">
        <v>349</v>
      </c>
      <c r="D241">
        <v>240</v>
      </c>
      <c r="E241" s="88" t="s">
        <v>350</v>
      </c>
    </row>
    <row r="242" spans="1:5">
      <c r="A242" s="3">
        <v>241</v>
      </c>
      <c r="C242" s="88" t="s">
        <v>349</v>
      </c>
      <c r="D242">
        <v>241</v>
      </c>
      <c r="E242" s="88" t="s">
        <v>350</v>
      </c>
    </row>
    <row r="243" spans="1:5">
      <c r="A243" s="3">
        <v>242</v>
      </c>
      <c r="C243" s="88" t="s">
        <v>349</v>
      </c>
      <c r="D243">
        <v>242</v>
      </c>
      <c r="E243" s="88" t="s">
        <v>350</v>
      </c>
    </row>
    <row r="244" spans="1:5">
      <c r="A244" s="3">
        <v>243</v>
      </c>
      <c r="C244" s="88" t="s">
        <v>349</v>
      </c>
      <c r="D244">
        <v>243</v>
      </c>
      <c r="E244" s="88" t="s">
        <v>350</v>
      </c>
    </row>
    <row r="245" spans="1:5">
      <c r="A245" s="3">
        <v>244</v>
      </c>
      <c r="C245" s="88" t="s">
        <v>349</v>
      </c>
      <c r="D245">
        <v>244</v>
      </c>
      <c r="E245" s="88" t="s">
        <v>350</v>
      </c>
    </row>
    <row r="246" spans="1:5">
      <c r="A246" s="3">
        <v>245</v>
      </c>
      <c r="C246" s="88" t="s">
        <v>349</v>
      </c>
      <c r="D246">
        <v>245</v>
      </c>
      <c r="E246" s="88" t="s">
        <v>350</v>
      </c>
    </row>
    <row r="247" spans="1:5">
      <c r="A247" s="3">
        <v>246</v>
      </c>
      <c r="C247" s="88" t="s">
        <v>349</v>
      </c>
      <c r="D247">
        <v>246</v>
      </c>
      <c r="E247" s="88" t="s">
        <v>350</v>
      </c>
    </row>
    <row r="248" spans="1:5">
      <c r="A248" s="3">
        <v>247</v>
      </c>
      <c r="C248" s="88" t="s">
        <v>349</v>
      </c>
      <c r="D248">
        <v>247</v>
      </c>
      <c r="E248" s="88" t="s">
        <v>350</v>
      </c>
    </row>
    <row r="249" spans="1:5">
      <c r="A249" s="3">
        <v>248</v>
      </c>
      <c r="C249" s="88" t="s">
        <v>349</v>
      </c>
      <c r="D249">
        <v>248</v>
      </c>
      <c r="E249" s="88" t="s">
        <v>350</v>
      </c>
    </row>
    <row r="250" spans="1:5">
      <c r="A250" s="3">
        <v>249</v>
      </c>
      <c r="C250" s="88" t="s">
        <v>349</v>
      </c>
      <c r="D250">
        <v>249</v>
      </c>
      <c r="E250" s="88" t="s">
        <v>350</v>
      </c>
    </row>
    <row r="251" spans="1:5">
      <c r="A251" s="3">
        <v>250</v>
      </c>
      <c r="C251" s="88" t="s">
        <v>349</v>
      </c>
      <c r="D251">
        <v>250</v>
      </c>
      <c r="E251" s="88" t="s">
        <v>350</v>
      </c>
    </row>
    <row r="252" spans="1:5">
      <c r="A252" s="3">
        <v>251</v>
      </c>
      <c r="C252" s="88" t="s">
        <v>349</v>
      </c>
      <c r="D252">
        <v>251</v>
      </c>
      <c r="E252" s="88" t="s">
        <v>350</v>
      </c>
    </row>
    <row r="253" spans="1:5">
      <c r="A253" s="3">
        <v>252</v>
      </c>
      <c r="C253" s="88" t="s">
        <v>349</v>
      </c>
      <c r="D253">
        <v>252</v>
      </c>
      <c r="E253" s="88" t="s">
        <v>350</v>
      </c>
    </row>
    <row r="254" spans="1:5">
      <c r="A254" s="3">
        <v>253</v>
      </c>
      <c r="C254" s="88" t="s">
        <v>349</v>
      </c>
      <c r="D254">
        <v>253</v>
      </c>
      <c r="E254" s="88" t="s">
        <v>350</v>
      </c>
    </row>
    <row r="255" spans="1:5">
      <c r="A255" s="3">
        <v>254</v>
      </c>
      <c r="C255" s="88" t="s">
        <v>349</v>
      </c>
      <c r="D255">
        <v>254</v>
      </c>
      <c r="E255" s="88" t="s">
        <v>350</v>
      </c>
    </row>
    <row r="256" spans="1:5">
      <c r="A256" s="3">
        <v>255</v>
      </c>
      <c r="C256" s="88" t="s">
        <v>349</v>
      </c>
      <c r="D256">
        <v>255</v>
      </c>
      <c r="E256" s="88" t="s">
        <v>350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25BB2-5BE2-4A69-9BE0-BAAFDC99B64F}">
  <sheetPr codeName="Sheet20"/>
  <dimension ref="A1:E256"/>
  <sheetViews>
    <sheetView workbookViewId="0">
      <selection activeCell="F30" sqref="F30"/>
    </sheetView>
  </sheetViews>
  <sheetFormatPr defaultRowHeight="15"/>
  <cols>
    <col min="1" max="1" width="9.140625" style="3"/>
    <col min="2" max="2" width="27" customWidth="1"/>
    <col min="3" max="3" width="2" bestFit="1" customWidth="1"/>
    <col min="4" max="4" width="4" bestFit="1" customWidth="1"/>
  </cols>
  <sheetData>
    <row r="1" spans="1:5">
      <c r="A1" s="3">
        <v>0</v>
      </c>
      <c r="B1" t="s">
        <v>325</v>
      </c>
      <c r="C1" s="88" t="s">
        <v>349</v>
      </c>
      <c r="D1">
        <v>0</v>
      </c>
      <c r="E1" s="88" t="s">
        <v>350</v>
      </c>
    </row>
    <row r="2" spans="1:5">
      <c r="A2" s="3">
        <v>1</v>
      </c>
      <c r="B2" t="s">
        <v>326</v>
      </c>
      <c r="C2" s="88" t="s">
        <v>349</v>
      </c>
      <c r="D2">
        <v>1</v>
      </c>
      <c r="E2" s="88" t="s">
        <v>350</v>
      </c>
    </row>
    <row r="3" spans="1:5">
      <c r="A3" s="3">
        <v>2</v>
      </c>
      <c r="B3" t="s">
        <v>328</v>
      </c>
      <c r="C3" s="88" t="s">
        <v>349</v>
      </c>
      <c r="D3">
        <v>2</v>
      </c>
      <c r="E3" s="88" t="s">
        <v>350</v>
      </c>
    </row>
    <row r="4" spans="1:5">
      <c r="A4" s="3">
        <v>3</v>
      </c>
      <c r="B4" t="s">
        <v>333</v>
      </c>
      <c r="C4" s="88" t="s">
        <v>349</v>
      </c>
      <c r="D4">
        <v>3</v>
      </c>
      <c r="E4" s="88" t="s">
        <v>350</v>
      </c>
    </row>
    <row r="5" spans="1:5">
      <c r="A5" s="3">
        <v>4</v>
      </c>
      <c r="B5" t="s">
        <v>392</v>
      </c>
      <c r="C5" s="88" t="s">
        <v>349</v>
      </c>
      <c r="D5">
        <v>4</v>
      </c>
      <c r="E5" s="88" t="s">
        <v>350</v>
      </c>
    </row>
    <row r="6" spans="1:5">
      <c r="A6" s="3">
        <v>5</v>
      </c>
      <c r="B6" t="s">
        <v>393</v>
      </c>
      <c r="C6" s="88" t="s">
        <v>349</v>
      </c>
      <c r="D6">
        <v>5</v>
      </c>
      <c r="E6" s="88" t="s">
        <v>350</v>
      </c>
    </row>
    <row r="7" spans="1:5">
      <c r="A7" s="3">
        <v>6</v>
      </c>
      <c r="B7" t="s">
        <v>394</v>
      </c>
      <c r="C7" s="88" t="s">
        <v>349</v>
      </c>
      <c r="D7">
        <v>6</v>
      </c>
      <c r="E7" s="88" t="s">
        <v>350</v>
      </c>
    </row>
    <row r="8" spans="1:5">
      <c r="A8" s="3">
        <v>7</v>
      </c>
      <c r="B8" t="s">
        <v>395</v>
      </c>
      <c r="C8" s="88" t="s">
        <v>349</v>
      </c>
      <c r="D8">
        <v>7</v>
      </c>
      <c r="E8" s="88" t="s">
        <v>350</v>
      </c>
    </row>
    <row r="9" spans="1:5">
      <c r="A9" s="3">
        <v>8</v>
      </c>
      <c r="B9" t="s">
        <v>396</v>
      </c>
      <c r="C9" s="88" t="s">
        <v>349</v>
      </c>
      <c r="D9">
        <v>8</v>
      </c>
      <c r="E9" s="88" t="s">
        <v>350</v>
      </c>
    </row>
    <row r="10" spans="1:5">
      <c r="A10" s="3">
        <v>9</v>
      </c>
      <c r="B10" t="s">
        <v>397</v>
      </c>
      <c r="C10" s="88" t="s">
        <v>349</v>
      </c>
      <c r="D10">
        <v>9</v>
      </c>
      <c r="E10" s="88" t="s">
        <v>350</v>
      </c>
    </row>
    <row r="11" spans="1:5">
      <c r="A11" s="3">
        <v>10</v>
      </c>
      <c r="C11" s="88" t="s">
        <v>349</v>
      </c>
      <c r="D11">
        <v>10</v>
      </c>
      <c r="E11" s="88" t="s">
        <v>350</v>
      </c>
    </row>
    <row r="12" spans="1:5">
      <c r="A12" s="3">
        <v>11</v>
      </c>
      <c r="C12" s="88" t="s">
        <v>349</v>
      </c>
      <c r="D12">
        <v>11</v>
      </c>
      <c r="E12" s="88" t="s">
        <v>350</v>
      </c>
    </row>
    <row r="13" spans="1:5">
      <c r="A13" s="3">
        <v>12</v>
      </c>
      <c r="C13" s="88" t="s">
        <v>349</v>
      </c>
      <c r="D13">
        <v>12</v>
      </c>
      <c r="E13" s="88" t="s">
        <v>350</v>
      </c>
    </row>
    <row r="14" spans="1:5">
      <c r="A14" s="3">
        <v>13</v>
      </c>
      <c r="C14" s="88" t="s">
        <v>349</v>
      </c>
      <c r="D14">
        <v>13</v>
      </c>
      <c r="E14" s="88" t="s">
        <v>350</v>
      </c>
    </row>
    <row r="15" spans="1:5">
      <c r="A15" s="3">
        <v>14</v>
      </c>
      <c r="C15" s="88" t="s">
        <v>349</v>
      </c>
      <c r="D15">
        <v>14</v>
      </c>
      <c r="E15" s="88" t="s">
        <v>350</v>
      </c>
    </row>
    <row r="16" spans="1:5">
      <c r="A16" s="3">
        <v>15</v>
      </c>
      <c r="C16" s="88" t="s">
        <v>349</v>
      </c>
      <c r="D16">
        <v>15</v>
      </c>
      <c r="E16" s="88" t="s">
        <v>350</v>
      </c>
    </row>
    <row r="17" spans="1:5">
      <c r="A17" s="3">
        <v>16</v>
      </c>
      <c r="C17" s="88" t="s">
        <v>349</v>
      </c>
      <c r="D17">
        <v>16</v>
      </c>
      <c r="E17" s="88" t="s">
        <v>350</v>
      </c>
    </row>
    <row r="18" spans="1:5">
      <c r="A18" s="3">
        <v>17</v>
      </c>
      <c r="C18" s="88" t="s">
        <v>349</v>
      </c>
      <c r="D18">
        <v>17</v>
      </c>
      <c r="E18" s="88" t="s">
        <v>350</v>
      </c>
    </row>
    <row r="19" spans="1:5">
      <c r="A19" s="3">
        <v>18</v>
      </c>
      <c r="C19" s="88" t="s">
        <v>349</v>
      </c>
      <c r="D19">
        <v>18</v>
      </c>
      <c r="E19" s="88" t="s">
        <v>350</v>
      </c>
    </row>
    <row r="20" spans="1:5">
      <c r="A20" s="3">
        <v>19</v>
      </c>
      <c r="C20" s="88" t="s">
        <v>349</v>
      </c>
      <c r="D20">
        <v>19</v>
      </c>
      <c r="E20" s="88" t="s">
        <v>350</v>
      </c>
    </row>
    <row r="21" spans="1:5">
      <c r="A21" s="3">
        <v>20</v>
      </c>
      <c r="C21" s="88" t="s">
        <v>349</v>
      </c>
      <c r="D21">
        <v>20</v>
      </c>
      <c r="E21" s="88" t="s">
        <v>350</v>
      </c>
    </row>
    <row r="22" spans="1:5">
      <c r="A22" s="3">
        <v>21</v>
      </c>
      <c r="C22" s="88" t="s">
        <v>349</v>
      </c>
      <c r="D22">
        <v>21</v>
      </c>
      <c r="E22" s="88" t="s">
        <v>350</v>
      </c>
    </row>
    <row r="23" spans="1:5">
      <c r="A23" s="3">
        <v>22</v>
      </c>
      <c r="C23" s="88" t="s">
        <v>349</v>
      </c>
      <c r="D23">
        <v>22</v>
      </c>
      <c r="E23" s="88" t="s">
        <v>350</v>
      </c>
    </row>
    <row r="24" spans="1:5">
      <c r="A24" s="3">
        <v>23</v>
      </c>
      <c r="C24" s="88" t="s">
        <v>349</v>
      </c>
      <c r="D24">
        <v>23</v>
      </c>
      <c r="E24" s="88" t="s">
        <v>350</v>
      </c>
    </row>
    <row r="25" spans="1:5">
      <c r="A25" s="3">
        <v>24</v>
      </c>
      <c r="C25" s="88" t="s">
        <v>349</v>
      </c>
      <c r="D25">
        <v>24</v>
      </c>
      <c r="E25" s="88" t="s">
        <v>350</v>
      </c>
    </row>
    <row r="26" spans="1:5">
      <c r="A26" s="3">
        <v>25</v>
      </c>
      <c r="C26" s="88" t="s">
        <v>349</v>
      </c>
      <c r="D26">
        <v>25</v>
      </c>
      <c r="E26" s="88" t="s">
        <v>350</v>
      </c>
    </row>
    <row r="27" spans="1:5">
      <c r="A27" s="3">
        <v>26</v>
      </c>
      <c r="C27" s="88" t="s">
        <v>349</v>
      </c>
      <c r="D27">
        <v>26</v>
      </c>
      <c r="E27" s="88" t="s">
        <v>350</v>
      </c>
    </row>
    <row r="28" spans="1:5">
      <c r="A28" s="3">
        <v>27</v>
      </c>
      <c r="C28" s="88" t="s">
        <v>349</v>
      </c>
      <c r="D28">
        <v>27</v>
      </c>
      <c r="E28" s="88" t="s">
        <v>350</v>
      </c>
    </row>
    <row r="29" spans="1:5">
      <c r="A29" s="3">
        <v>28</v>
      </c>
      <c r="C29" s="88" t="s">
        <v>349</v>
      </c>
      <c r="D29">
        <v>28</v>
      </c>
      <c r="E29" s="88" t="s">
        <v>350</v>
      </c>
    </row>
    <row r="30" spans="1:5">
      <c r="A30" s="3">
        <v>29</v>
      </c>
      <c r="C30" s="88" t="s">
        <v>349</v>
      </c>
      <c r="D30">
        <v>29</v>
      </c>
      <c r="E30" s="88" t="s">
        <v>350</v>
      </c>
    </row>
    <row r="31" spans="1:5">
      <c r="A31" s="3">
        <v>30</v>
      </c>
      <c r="C31" s="88" t="s">
        <v>349</v>
      </c>
      <c r="D31">
        <v>30</v>
      </c>
      <c r="E31" s="88" t="s">
        <v>350</v>
      </c>
    </row>
    <row r="32" spans="1:5">
      <c r="A32" s="3">
        <v>31</v>
      </c>
      <c r="C32" s="88" t="s">
        <v>349</v>
      </c>
      <c r="D32">
        <v>31</v>
      </c>
      <c r="E32" s="88" t="s">
        <v>350</v>
      </c>
    </row>
    <row r="33" spans="1:5">
      <c r="A33" s="3">
        <v>32</v>
      </c>
      <c r="C33" s="88" t="s">
        <v>349</v>
      </c>
      <c r="D33">
        <v>32</v>
      </c>
      <c r="E33" s="88" t="s">
        <v>350</v>
      </c>
    </row>
    <row r="34" spans="1:5">
      <c r="A34" s="3">
        <v>33</v>
      </c>
      <c r="C34" s="88" t="s">
        <v>349</v>
      </c>
      <c r="D34">
        <v>33</v>
      </c>
      <c r="E34" s="88" t="s">
        <v>350</v>
      </c>
    </row>
    <row r="35" spans="1:5">
      <c r="A35" s="3">
        <v>34</v>
      </c>
      <c r="C35" s="88" t="s">
        <v>349</v>
      </c>
      <c r="D35">
        <v>34</v>
      </c>
      <c r="E35" s="88" t="s">
        <v>350</v>
      </c>
    </row>
    <row r="36" spans="1:5">
      <c r="A36" s="3">
        <v>35</v>
      </c>
      <c r="C36" s="88" t="s">
        <v>349</v>
      </c>
      <c r="D36">
        <v>35</v>
      </c>
      <c r="E36" s="88" t="s">
        <v>350</v>
      </c>
    </row>
    <row r="37" spans="1:5">
      <c r="A37" s="3">
        <v>36</v>
      </c>
      <c r="C37" s="88" t="s">
        <v>349</v>
      </c>
      <c r="D37">
        <v>36</v>
      </c>
      <c r="E37" s="88" t="s">
        <v>350</v>
      </c>
    </row>
    <row r="38" spans="1:5">
      <c r="A38" s="3">
        <v>37</v>
      </c>
      <c r="C38" s="88" t="s">
        <v>349</v>
      </c>
      <c r="D38">
        <v>37</v>
      </c>
      <c r="E38" s="88" t="s">
        <v>350</v>
      </c>
    </row>
    <row r="39" spans="1:5">
      <c r="A39" s="3">
        <v>38</v>
      </c>
      <c r="C39" s="88" t="s">
        <v>349</v>
      </c>
      <c r="D39">
        <v>38</v>
      </c>
      <c r="E39" s="88" t="s">
        <v>350</v>
      </c>
    </row>
    <row r="40" spans="1:5">
      <c r="A40" s="3">
        <v>39</v>
      </c>
      <c r="C40" s="88" t="s">
        <v>349</v>
      </c>
      <c r="D40">
        <v>39</v>
      </c>
      <c r="E40" s="88" t="s">
        <v>350</v>
      </c>
    </row>
    <row r="41" spans="1:5">
      <c r="A41" s="3">
        <v>40</v>
      </c>
      <c r="C41" s="88" t="s">
        <v>349</v>
      </c>
      <c r="D41">
        <v>40</v>
      </c>
      <c r="E41" s="88" t="s">
        <v>350</v>
      </c>
    </row>
    <row r="42" spans="1:5">
      <c r="A42" s="3">
        <v>41</v>
      </c>
      <c r="C42" s="88" t="s">
        <v>349</v>
      </c>
      <c r="D42">
        <v>41</v>
      </c>
      <c r="E42" s="88" t="s">
        <v>350</v>
      </c>
    </row>
    <row r="43" spans="1:5">
      <c r="A43" s="3">
        <v>42</v>
      </c>
      <c r="C43" s="88" t="s">
        <v>349</v>
      </c>
      <c r="D43">
        <v>42</v>
      </c>
      <c r="E43" s="88" t="s">
        <v>350</v>
      </c>
    </row>
    <row r="44" spans="1:5">
      <c r="A44" s="3">
        <v>43</v>
      </c>
      <c r="C44" s="88" t="s">
        <v>349</v>
      </c>
      <c r="D44">
        <v>43</v>
      </c>
      <c r="E44" s="88" t="s">
        <v>350</v>
      </c>
    </row>
    <row r="45" spans="1:5">
      <c r="A45" s="3">
        <v>44</v>
      </c>
      <c r="C45" s="88" t="s">
        <v>349</v>
      </c>
      <c r="D45">
        <v>44</v>
      </c>
      <c r="E45" s="88" t="s">
        <v>350</v>
      </c>
    </row>
    <row r="46" spans="1:5">
      <c r="A46" s="3">
        <v>45</v>
      </c>
      <c r="C46" s="88" t="s">
        <v>349</v>
      </c>
      <c r="D46">
        <v>45</v>
      </c>
      <c r="E46" s="88" t="s">
        <v>350</v>
      </c>
    </row>
    <row r="47" spans="1:5">
      <c r="A47" s="3">
        <v>46</v>
      </c>
      <c r="C47" s="88" t="s">
        <v>349</v>
      </c>
      <c r="D47">
        <v>46</v>
      </c>
      <c r="E47" s="88" t="s">
        <v>350</v>
      </c>
    </row>
    <row r="48" spans="1:5">
      <c r="A48" s="3">
        <v>47</v>
      </c>
      <c r="C48" s="88" t="s">
        <v>349</v>
      </c>
      <c r="D48">
        <v>47</v>
      </c>
      <c r="E48" s="88" t="s">
        <v>350</v>
      </c>
    </row>
    <row r="49" spans="1:5">
      <c r="A49" s="3">
        <v>48</v>
      </c>
      <c r="C49" s="88" t="s">
        <v>349</v>
      </c>
      <c r="D49">
        <v>48</v>
      </c>
      <c r="E49" s="88" t="s">
        <v>350</v>
      </c>
    </row>
    <row r="50" spans="1:5">
      <c r="A50" s="3">
        <v>49</v>
      </c>
      <c r="C50" s="88" t="s">
        <v>349</v>
      </c>
      <c r="D50">
        <v>49</v>
      </c>
      <c r="E50" s="88" t="s">
        <v>350</v>
      </c>
    </row>
    <row r="51" spans="1:5">
      <c r="A51" s="3">
        <v>50</v>
      </c>
      <c r="C51" s="88" t="s">
        <v>349</v>
      </c>
      <c r="D51">
        <v>50</v>
      </c>
      <c r="E51" s="88" t="s">
        <v>350</v>
      </c>
    </row>
    <row r="52" spans="1:5">
      <c r="A52" s="3">
        <v>51</v>
      </c>
      <c r="C52" s="88" t="s">
        <v>349</v>
      </c>
      <c r="D52">
        <v>51</v>
      </c>
      <c r="E52" s="88" t="s">
        <v>350</v>
      </c>
    </row>
    <row r="53" spans="1:5">
      <c r="A53" s="3">
        <v>52</v>
      </c>
      <c r="C53" s="88" t="s">
        <v>349</v>
      </c>
      <c r="D53">
        <v>52</v>
      </c>
      <c r="E53" s="88" t="s">
        <v>350</v>
      </c>
    </row>
    <row r="54" spans="1:5">
      <c r="A54" s="3">
        <v>53</v>
      </c>
      <c r="C54" s="88" t="s">
        <v>349</v>
      </c>
      <c r="D54">
        <v>53</v>
      </c>
      <c r="E54" s="88" t="s">
        <v>350</v>
      </c>
    </row>
    <row r="55" spans="1:5">
      <c r="A55" s="3">
        <v>54</v>
      </c>
      <c r="C55" s="88" t="s">
        <v>349</v>
      </c>
      <c r="D55">
        <v>54</v>
      </c>
      <c r="E55" s="88" t="s">
        <v>350</v>
      </c>
    </row>
    <row r="56" spans="1:5">
      <c r="A56" s="3">
        <v>55</v>
      </c>
      <c r="C56" s="88" t="s">
        <v>349</v>
      </c>
      <c r="D56">
        <v>55</v>
      </c>
      <c r="E56" s="88" t="s">
        <v>350</v>
      </c>
    </row>
    <row r="57" spans="1:5">
      <c r="A57" s="3">
        <v>56</v>
      </c>
      <c r="C57" s="88" t="s">
        <v>349</v>
      </c>
      <c r="D57">
        <v>56</v>
      </c>
      <c r="E57" s="88" t="s">
        <v>350</v>
      </c>
    </row>
    <row r="58" spans="1:5">
      <c r="A58" s="3">
        <v>57</v>
      </c>
      <c r="C58" s="88" t="s">
        <v>349</v>
      </c>
      <c r="D58">
        <v>57</v>
      </c>
      <c r="E58" s="88" t="s">
        <v>350</v>
      </c>
    </row>
    <row r="59" spans="1:5">
      <c r="A59" s="3">
        <v>58</v>
      </c>
      <c r="C59" s="88" t="s">
        <v>349</v>
      </c>
      <c r="D59">
        <v>58</v>
      </c>
      <c r="E59" s="88" t="s">
        <v>350</v>
      </c>
    </row>
    <row r="60" spans="1:5">
      <c r="A60" s="3">
        <v>59</v>
      </c>
      <c r="C60" s="88" t="s">
        <v>349</v>
      </c>
      <c r="D60">
        <v>59</v>
      </c>
      <c r="E60" s="88" t="s">
        <v>350</v>
      </c>
    </row>
    <row r="61" spans="1:5">
      <c r="A61" s="3">
        <v>60</v>
      </c>
      <c r="C61" s="88" t="s">
        <v>349</v>
      </c>
      <c r="D61">
        <v>60</v>
      </c>
      <c r="E61" s="88" t="s">
        <v>350</v>
      </c>
    </row>
    <row r="62" spans="1:5">
      <c r="A62" s="3">
        <v>61</v>
      </c>
      <c r="C62" s="88" t="s">
        <v>349</v>
      </c>
      <c r="D62">
        <v>61</v>
      </c>
      <c r="E62" s="88" t="s">
        <v>350</v>
      </c>
    </row>
    <row r="63" spans="1:5">
      <c r="A63" s="3">
        <v>62</v>
      </c>
      <c r="C63" s="88" t="s">
        <v>349</v>
      </c>
      <c r="D63">
        <v>62</v>
      </c>
      <c r="E63" s="88" t="s">
        <v>350</v>
      </c>
    </row>
    <row r="64" spans="1:5">
      <c r="A64" s="3">
        <v>63</v>
      </c>
      <c r="C64" s="88" t="s">
        <v>349</v>
      </c>
      <c r="D64">
        <v>63</v>
      </c>
      <c r="E64" s="88" t="s">
        <v>350</v>
      </c>
    </row>
    <row r="65" spans="1:5">
      <c r="A65" s="3">
        <v>64</v>
      </c>
      <c r="C65" s="88" t="s">
        <v>349</v>
      </c>
      <c r="D65">
        <v>64</v>
      </c>
      <c r="E65" s="88" t="s">
        <v>350</v>
      </c>
    </row>
    <row r="66" spans="1:5">
      <c r="A66" s="3">
        <v>65</v>
      </c>
      <c r="C66" s="88" t="s">
        <v>349</v>
      </c>
      <c r="D66">
        <v>65</v>
      </c>
      <c r="E66" s="88" t="s">
        <v>350</v>
      </c>
    </row>
    <row r="67" spans="1:5">
      <c r="A67" s="3">
        <v>66</v>
      </c>
      <c r="C67" s="88" t="s">
        <v>349</v>
      </c>
      <c r="D67">
        <v>66</v>
      </c>
      <c r="E67" s="88" t="s">
        <v>350</v>
      </c>
    </row>
    <row r="68" spans="1:5">
      <c r="A68" s="3">
        <v>67</v>
      </c>
      <c r="C68" s="88" t="s">
        <v>349</v>
      </c>
      <c r="D68">
        <v>67</v>
      </c>
      <c r="E68" s="88" t="s">
        <v>350</v>
      </c>
    </row>
    <row r="69" spans="1:5">
      <c r="A69" s="3">
        <v>68</v>
      </c>
      <c r="C69" s="88" t="s">
        <v>349</v>
      </c>
      <c r="D69">
        <v>68</v>
      </c>
      <c r="E69" s="88" t="s">
        <v>350</v>
      </c>
    </row>
    <row r="70" spans="1:5">
      <c r="A70" s="3">
        <v>69</v>
      </c>
      <c r="C70" s="88" t="s">
        <v>349</v>
      </c>
      <c r="D70">
        <v>69</v>
      </c>
      <c r="E70" s="88" t="s">
        <v>350</v>
      </c>
    </row>
    <row r="71" spans="1:5">
      <c r="A71" s="3">
        <v>70</v>
      </c>
      <c r="C71" s="88" t="s">
        <v>349</v>
      </c>
      <c r="D71">
        <v>70</v>
      </c>
      <c r="E71" s="88" t="s">
        <v>350</v>
      </c>
    </row>
    <row r="72" spans="1:5">
      <c r="A72" s="3">
        <v>71</v>
      </c>
      <c r="C72" s="88" t="s">
        <v>349</v>
      </c>
      <c r="D72">
        <v>71</v>
      </c>
      <c r="E72" s="88" t="s">
        <v>350</v>
      </c>
    </row>
    <row r="73" spans="1:5">
      <c r="A73" s="3">
        <v>72</v>
      </c>
      <c r="C73" s="88" t="s">
        <v>349</v>
      </c>
      <c r="D73">
        <v>72</v>
      </c>
      <c r="E73" s="88" t="s">
        <v>350</v>
      </c>
    </row>
    <row r="74" spans="1:5">
      <c r="A74" s="3">
        <v>73</v>
      </c>
      <c r="C74" s="88" t="s">
        <v>349</v>
      </c>
      <c r="D74">
        <v>73</v>
      </c>
      <c r="E74" s="88" t="s">
        <v>350</v>
      </c>
    </row>
    <row r="75" spans="1:5">
      <c r="A75" s="3">
        <v>74</v>
      </c>
      <c r="C75" s="88" t="s">
        <v>349</v>
      </c>
      <c r="D75">
        <v>74</v>
      </c>
      <c r="E75" s="88" t="s">
        <v>350</v>
      </c>
    </row>
    <row r="76" spans="1:5">
      <c r="A76" s="3">
        <v>75</v>
      </c>
      <c r="C76" s="88" t="s">
        <v>349</v>
      </c>
      <c r="D76">
        <v>75</v>
      </c>
      <c r="E76" s="88" t="s">
        <v>350</v>
      </c>
    </row>
    <row r="77" spans="1:5">
      <c r="A77" s="3">
        <v>76</v>
      </c>
      <c r="C77" s="88" t="s">
        <v>349</v>
      </c>
      <c r="D77">
        <v>76</v>
      </c>
      <c r="E77" s="88" t="s">
        <v>350</v>
      </c>
    </row>
    <row r="78" spans="1:5">
      <c r="A78" s="3">
        <v>77</v>
      </c>
      <c r="C78" s="88" t="s">
        <v>349</v>
      </c>
      <c r="D78">
        <v>77</v>
      </c>
      <c r="E78" s="88" t="s">
        <v>350</v>
      </c>
    </row>
    <row r="79" spans="1:5">
      <c r="A79" s="3">
        <v>78</v>
      </c>
      <c r="C79" s="88" t="s">
        <v>349</v>
      </c>
      <c r="D79">
        <v>78</v>
      </c>
      <c r="E79" s="88" t="s">
        <v>350</v>
      </c>
    </row>
    <row r="80" spans="1:5">
      <c r="A80" s="3">
        <v>79</v>
      </c>
      <c r="C80" s="88" t="s">
        <v>349</v>
      </c>
      <c r="D80">
        <v>79</v>
      </c>
      <c r="E80" s="88" t="s">
        <v>350</v>
      </c>
    </row>
    <row r="81" spans="1:5">
      <c r="A81" s="3">
        <v>80</v>
      </c>
      <c r="C81" s="88" t="s">
        <v>349</v>
      </c>
      <c r="D81">
        <v>80</v>
      </c>
      <c r="E81" s="88" t="s">
        <v>350</v>
      </c>
    </row>
    <row r="82" spans="1:5">
      <c r="A82" s="3">
        <v>81</v>
      </c>
      <c r="C82" s="88" t="s">
        <v>349</v>
      </c>
      <c r="D82">
        <v>81</v>
      </c>
      <c r="E82" s="88" t="s">
        <v>350</v>
      </c>
    </row>
    <row r="83" spans="1:5">
      <c r="A83" s="3">
        <v>82</v>
      </c>
      <c r="C83" s="88" t="s">
        <v>349</v>
      </c>
      <c r="D83">
        <v>82</v>
      </c>
      <c r="E83" s="88" t="s">
        <v>350</v>
      </c>
    </row>
    <row r="84" spans="1:5">
      <c r="A84" s="3">
        <v>83</v>
      </c>
      <c r="C84" s="88" t="s">
        <v>349</v>
      </c>
      <c r="D84">
        <v>83</v>
      </c>
      <c r="E84" s="88" t="s">
        <v>350</v>
      </c>
    </row>
    <row r="85" spans="1:5">
      <c r="A85" s="3">
        <v>84</v>
      </c>
      <c r="C85" s="88" t="s">
        <v>349</v>
      </c>
      <c r="D85">
        <v>84</v>
      </c>
      <c r="E85" s="88" t="s">
        <v>350</v>
      </c>
    </row>
    <row r="86" spans="1:5">
      <c r="A86" s="3">
        <v>85</v>
      </c>
      <c r="C86" s="88" t="s">
        <v>349</v>
      </c>
      <c r="D86">
        <v>85</v>
      </c>
      <c r="E86" s="88" t="s">
        <v>350</v>
      </c>
    </row>
    <row r="87" spans="1:5">
      <c r="A87" s="3">
        <v>86</v>
      </c>
      <c r="C87" s="88" t="s">
        <v>349</v>
      </c>
      <c r="D87">
        <v>86</v>
      </c>
      <c r="E87" s="88" t="s">
        <v>350</v>
      </c>
    </row>
    <row r="88" spans="1:5">
      <c r="A88" s="3">
        <v>87</v>
      </c>
      <c r="C88" s="88" t="s">
        <v>349</v>
      </c>
      <c r="D88">
        <v>87</v>
      </c>
      <c r="E88" s="88" t="s">
        <v>350</v>
      </c>
    </row>
    <row r="89" spans="1:5">
      <c r="A89" s="3">
        <v>88</v>
      </c>
      <c r="C89" s="88" t="s">
        <v>349</v>
      </c>
      <c r="D89">
        <v>88</v>
      </c>
      <c r="E89" s="88" t="s">
        <v>350</v>
      </c>
    </row>
    <row r="90" spans="1:5">
      <c r="A90" s="3">
        <v>89</v>
      </c>
      <c r="C90" s="88" t="s">
        <v>349</v>
      </c>
      <c r="D90">
        <v>89</v>
      </c>
      <c r="E90" s="88" t="s">
        <v>350</v>
      </c>
    </row>
    <row r="91" spans="1:5">
      <c r="A91" s="3">
        <v>90</v>
      </c>
      <c r="C91" s="88" t="s">
        <v>349</v>
      </c>
      <c r="D91">
        <v>90</v>
      </c>
      <c r="E91" s="88" t="s">
        <v>350</v>
      </c>
    </row>
    <row r="92" spans="1:5">
      <c r="A92" s="3">
        <v>91</v>
      </c>
      <c r="C92" s="88" t="s">
        <v>349</v>
      </c>
      <c r="D92">
        <v>91</v>
      </c>
      <c r="E92" s="88" t="s">
        <v>350</v>
      </c>
    </row>
    <row r="93" spans="1:5">
      <c r="A93" s="3">
        <v>92</v>
      </c>
      <c r="C93" s="88" t="s">
        <v>349</v>
      </c>
      <c r="D93">
        <v>92</v>
      </c>
      <c r="E93" s="88" t="s">
        <v>350</v>
      </c>
    </row>
    <row r="94" spans="1:5">
      <c r="A94" s="3">
        <v>93</v>
      </c>
      <c r="C94" s="88" t="s">
        <v>349</v>
      </c>
      <c r="D94">
        <v>93</v>
      </c>
      <c r="E94" s="88" t="s">
        <v>350</v>
      </c>
    </row>
    <row r="95" spans="1:5">
      <c r="A95" s="3">
        <v>94</v>
      </c>
      <c r="C95" s="88" t="s">
        <v>349</v>
      </c>
      <c r="D95">
        <v>94</v>
      </c>
      <c r="E95" s="88" t="s">
        <v>350</v>
      </c>
    </row>
    <row r="96" spans="1:5">
      <c r="A96" s="3">
        <v>95</v>
      </c>
      <c r="C96" s="88" t="s">
        <v>349</v>
      </c>
      <c r="D96">
        <v>95</v>
      </c>
      <c r="E96" s="88" t="s">
        <v>350</v>
      </c>
    </row>
    <row r="97" spans="1:5">
      <c r="A97" s="3">
        <v>96</v>
      </c>
      <c r="C97" s="88" t="s">
        <v>349</v>
      </c>
      <c r="D97">
        <v>96</v>
      </c>
      <c r="E97" s="88" t="s">
        <v>350</v>
      </c>
    </row>
    <row r="98" spans="1:5">
      <c r="A98" s="3">
        <v>97</v>
      </c>
      <c r="C98" s="88" t="s">
        <v>349</v>
      </c>
      <c r="D98">
        <v>97</v>
      </c>
      <c r="E98" s="88" t="s">
        <v>350</v>
      </c>
    </row>
    <row r="99" spans="1:5">
      <c r="A99" s="3">
        <v>98</v>
      </c>
      <c r="C99" s="88" t="s">
        <v>349</v>
      </c>
      <c r="D99">
        <v>98</v>
      </c>
      <c r="E99" s="88" t="s">
        <v>350</v>
      </c>
    </row>
    <row r="100" spans="1:5">
      <c r="A100" s="3">
        <v>99</v>
      </c>
      <c r="C100" s="88" t="s">
        <v>349</v>
      </c>
      <c r="D100">
        <v>99</v>
      </c>
      <c r="E100" s="88" t="s">
        <v>350</v>
      </c>
    </row>
    <row r="101" spans="1:5">
      <c r="A101" s="3">
        <v>100</v>
      </c>
      <c r="C101" s="88" t="s">
        <v>349</v>
      </c>
      <c r="D101">
        <v>100</v>
      </c>
      <c r="E101" s="88" t="s">
        <v>350</v>
      </c>
    </row>
    <row r="102" spans="1:5">
      <c r="A102" s="3">
        <v>101</v>
      </c>
      <c r="C102" s="88" t="s">
        <v>349</v>
      </c>
      <c r="D102">
        <v>101</v>
      </c>
      <c r="E102" s="88" t="s">
        <v>350</v>
      </c>
    </row>
    <row r="103" spans="1:5">
      <c r="A103" s="3">
        <v>102</v>
      </c>
      <c r="C103" s="88" t="s">
        <v>349</v>
      </c>
      <c r="D103">
        <v>102</v>
      </c>
      <c r="E103" s="88" t="s">
        <v>350</v>
      </c>
    </row>
    <row r="104" spans="1:5">
      <c r="A104" s="3">
        <v>103</v>
      </c>
      <c r="C104" s="88" t="s">
        <v>349</v>
      </c>
      <c r="D104">
        <v>103</v>
      </c>
      <c r="E104" s="88" t="s">
        <v>350</v>
      </c>
    </row>
    <row r="105" spans="1:5">
      <c r="A105" s="3">
        <v>104</v>
      </c>
      <c r="C105" s="88" t="s">
        <v>349</v>
      </c>
      <c r="D105">
        <v>104</v>
      </c>
      <c r="E105" s="88" t="s">
        <v>350</v>
      </c>
    </row>
    <row r="106" spans="1:5">
      <c r="A106" s="3">
        <v>105</v>
      </c>
      <c r="C106" s="88" t="s">
        <v>349</v>
      </c>
      <c r="D106">
        <v>105</v>
      </c>
      <c r="E106" s="88" t="s">
        <v>350</v>
      </c>
    </row>
    <row r="107" spans="1:5">
      <c r="A107" s="3">
        <v>106</v>
      </c>
      <c r="C107" s="88" t="s">
        <v>349</v>
      </c>
      <c r="D107">
        <v>106</v>
      </c>
      <c r="E107" s="88" t="s">
        <v>350</v>
      </c>
    </row>
    <row r="108" spans="1:5">
      <c r="A108" s="3">
        <v>107</v>
      </c>
      <c r="C108" s="88" t="s">
        <v>349</v>
      </c>
      <c r="D108">
        <v>107</v>
      </c>
      <c r="E108" s="88" t="s">
        <v>350</v>
      </c>
    </row>
    <row r="109" spans="1:5">
      <c r="A109" s="3">
        <v>108</v>
      </c>
      <c r="C109" s="88" t="s">
        <v>349</v>
      </c>
      <c r="D109">
        <v>108</v>
      </c>
      <c r="E109" s="88" t="s">
        <v>350</v>
      </c>
    </row>
    <row r="110" spans="1:5">
      <c r="A110" s="3">
        <v>109</v>
      </c>
      <c r="C110" s="88" t="s">
        <v>349</v>
      </c>
      <c r="D110">
        <v>109</v>
      </c>
      <c r="E110" s="88" t="s">
        <v>350</v>
      </c>
    </row>
    <row r="111" spans="1:5">
      <c r="A111" s="3">
        <v>110</v>
      </c>
      <c r="C111" s="88" t="s">
        <v>349</v>
      </c>
      <c r="D111">
        <v>110</v>
      </c>
      <c r="E111" s="88" t="s">
        <v>350</v>
      </c>
    </row>
    <row r="112" spans="1:5">
      <c r="A112" s="3">
        <v>111</v>
      </c>
      <c r="C112" s="88" t="s">
        <v>349</v>
      </c>
      <c r="D112">
        <v>111</v>
      </c>
      <c r="E112" s="88" t="s">
        <v>350</v>
      </c>
    </row>
    <row r="113" spans="1:5">
      <c r="A113" s="3">
        <v>112</v>
      </c>
      <c r="C113" s="88" t="s">
        <v>349</v>
      </c>
      <c r="D113">
        <v>112</v>
      </c>
      <c r="E113" s="88" t="s">
        <v>350</v>
      </c>
    </row>
    <row r="114" spans="1:5">
      <c r="A114" s="3">
        <v>113</v>
      </c>
      <c r="C114" s="88" t="s">
        <v>349</v>
      </c>
      <c r="D114">
        <v>113</v>
      </c>
      <c r="E114" s="88" t="s">
        <v>350</v>
      </c>
    </row>
    <row r="115" spans="1:5">
      <c r="A115" s="3">
        <v>114</v>
      </c>
      <c r="C115" s="88" t="s">
        <v>349</v>
      </c>
      <c r="D115">
        <v>114</v>
      </c>
      <c r="E115" s="88" t="s">
        <v>350</v>
      </c>
    </row>
    <row r="116" spans="1:5">
      <c r="A116" s="3">
        <v>115</v>
      </c>
      <c r="C116" s="88" t="s">
        <v>349</v>
      </c>
      <c r="D116">
        <v>115</v>
      </c>
      <c r="E116" s="88" t="s">
        <v>350</v>
      </c>
    </row>
    <row r="117" spans="1:5">
      <c r="A117" s="3">
        <v>116</v>
      </c>
      <c r="C117" s="88" t="s">
        <v>349</v>
      </c>
      <c r="D117">
        <v>116</v>
      </c>
      <c r="E117" s="88" t="s">
        <v>350</v>
      </c>
    </row>
    <row r="118" spans="1:5">
      <c r="A118" s="3">
        <v>117</v>
      </c>
      <c r="C118" s="88" t="s">
        <v>349</v>
      </c>
      <c r="D118">
        <v>117</v>
      </c>
      <c r="E118" s="88" t="s">
        <v>350</v>
      </c>
    </row>
    <row r="119" spans="1:5">
      <c r="A119" s="3">
        <v>118</v>
      </c>
      <c r="C119" s="88" t="s">
        <v>349</v>
      </c>
      <c r="D119">
        <v>118</v>
      </c>
      <c r="E119" s="88" t="s">
        <v>350</v>
      </c>
    </row>
    <row r="120" spans="1:5">
      <c r="A120" s="3">
        <v>119</v>
      </c>
      <c r="C120" s="88" t="s">
        <v>349</v>
      </c>
      <c r="D120">
        <v>119</v>
      </c>
      <c r="E120" s="88" t="s">
        <v>350</v>
      </c>
    </row>
    <row r="121" spans="1:5">
      <c r="A121" s="3">
        <v>120</v>
      </c>
      <c r="C121" s="88" t="s">
        <v>349</v>
      </c>
      <c r="D121">
        <v>120</v>
      </c>
      <c r="E121" s="88" t="s">
        <v>350</v>
      </c>
    </row>
    <row r="122" spans="1:5">
      <c r="A122" s="3">
        <v>121</v>
      </c>
      <c r="C122" s="88" t="s">
        <v>349</v>
      </c>
      <c r="D122">
        <v>121</v>
      </c>
      <c r="E122" s="88" t="s">
        <v>350</v>
      </c>
    </row>
    <row r="123" spans="1:5">
      <c r="A123" s="3">
        <v>122</v>
      </c>
      <c r="C123" s="88" t="s">
        <v>349</v>
      </c>
      <c r="D123">
        <v>122</v>
      </c>
      <c r="E123" s="88" t="s">
        <v>350</v>
      </c>
    </row>
    <row r="124" spans="1:5">
      <c r="A124" s="3">
        <v>123</v>
      </c>
      <c r="C124" s="88" t="s">
        <v>349</v>
      </c>
      <c r="D124">
        <v>123</v>
      </c>
      <c r="E124" s="88" t="s">
        <v>350</v>
      </c>
    </row>
    <row r="125" spans="1:5">
      <c r="A125" s="3">
        <v>124</v>
      </c>
      <c r="C125" s="88" t="s">
        <v>349</v>
      </c>
      <c r="D125">
        <v>124</v>
      </c>
      <c r="E125" s="88" t="s">
        <v>350</v>
      </c>
    </row>
    <row r="126" spans="1:5">
      <c r="A126" s="3">
        <v>125</v>
      </c>
      <c r="C126" s="88" t="s">
        <v>349</v>
      </c>
      <c r="D126">
        <v>125</v>
      </c>
      <c r="E126" s="88" t="s">
        <v>350</v>
      </c>
    </row>
    <row r="127" spans="1:5">
      <c r="A127" s="3">
        <v>126</v>
      </c>
      <c r="C127" s="88" t="s">
        <v>349</v>
      </c>
      <c r="D127">
        <v>126</v>
      </c>
      <c r="E127" s="88" t="s">
        <v>350</v>
      </c>
    </row>
    <row r="128" spans="1:5">
      <c r="A128" s="3">
        <v>127</v>
      </c>
      <c r="C128" s="88" t="s">
        <v>349</v>
      </c>
      <c r="D128">
        <v>127</v>
      </c>
      <c r="E128" s="88" t="s">
        <v>350</v>
      </c>
    </row>
    <row r="129" spans="1:5">
      <c r="A129" s="3">
        <v>128</v>
      </c>
      <c r="C129" s="88" t="s">
        <v>349</v>
      </c>
      <c r="D129">
        <v>128</v>
      </c>
      <c r="E129" s="88" t="s">
        <v>350</v>
      </c>
    </row>
    <row r="130" spans="1:5">
      <c r="A130" s="3">
        <v>129</v>
      </c>
      <c r="C130" s="88" t="s">
        <v>349</v>
      </c>
      <c r="D130">
        <v>129</v>
      </c>
      <c r="E130" s="88" t="s">
        <v>350</v>
      </c>
    </row>
    <row r="131" spans="1:5">
      <c r="A131" s="3">
        <v>130</v>
      </c>
      <c r="C131" s="88" t="s">
        <v>349</v>
      </c>
      <c r="D131">
        <v>130</v>
      </c>
      <c r="E131" s="88" t="s">
        <v>350</v>
      </c>
    </row>
    <row r="132" spans="1:5">
      <c r="A132" s="3">
        <v>131</v>
      </c>
      <c r="C132" s="88" t="s">
        <v>349</v>
      </c>
      <c r="D132">
        <v>131</v>
      </c>
      <c r="E132" s="88" t="s">
        <v>350</v>
      </c>
    </row>
    <row r="133" spans="1:5">
      <c r="A133" s="3">
        <v>132</v>
      </c>
      <c r="C133" s="88" t="s">
        <v>349</v>
      </c>
      <c r="D133">
        <v>132</v>
      </c>
      <c r="E133" s="88" t="s">
        <v>350</v>
      </c>
    </row>
    <row r="134" spans="1:5">
      <c r="A134" s="3">
        <v>133</v>
      </c>
      <c r="C134" s="88" t="s">
        <v>349</v>
      </c>
      <c r="D134">
        <v>133</v>
      </c>
      <c r="E134" s="88" t="s">
        <v>350</v>
      </c>
    </row>
    <row r="135" spans="1:5">
      <c r="A135" s="3">
        <v>134</v>
      </c>
      <c r="C135" s="88" t="s">
        <v>349</v>
      </c>
      <c r="D135">
        <v>134</v>
      </c>
      <c r="E135" s="88" t="s">
        <v>350</v>
      </c>
    </row>
    <row r="136" spans="1:5">
      <c r="A136" s="3">
        <v>135</v>
      </c>
      <c r="C136" s="88" t="s">
        <v>349</v>
      </c>
      <c r="D136">
        <v>135</v>
      </c>
      <c r="E136" s="88" t="s">
        <v>350</v>
      </c>
    </row>
    <row r="137" spans="1:5">
      <c r="A137" s="3">
        <v>136</v>
      </c>
      <c r="C137" s="88" t="s">
        <v>349</v>
      </c>
      <c r="D137">
        <v>136</v>
      </c>
      <c r="E137" s="88" t="s">
        <v>350</v>
      </c>
    </row>
    <row r="138" spans="1:5">
      <c r="A138" s="3">
        <v>137</v>
      </c>
      <c r="C138" s="88" t="s">
        <v>349</v>
      </c>
      <c r="D138">
        <v>137</v>
      </c>
      <c r="E138" s="88" t="s">
        <v>350</v>
      </c>
    </row>
    <row r="139" spans="1:5">
      <c r="A139" s="3">
        <v>138</v>
      </c>
      <c r="C139" s="88" t="s">
        <v>349</v>
      </c>
      <c r="D139">
        <v>138</v>
      </c>
      <c r="E139" s="88" t="s">
        <v>350</v>
      </c>
    </row>
    <row r="140" spans="1:5">
      <c r="A140" s="3">
        <v>139</v>
      </c>
      <c r="C140" s="88" t="s">
        <v>349</v>
      </c>
      <c r="D140">
        <v>139</v>
      </c>
      <c r="E140" s="88" t="s">
        <v>350</v>
      </c>
    </row>
    <row r="141" spans="1:5">
      <c r="A141" s="3">
        <v>140</v>
      </c>
      <c r="C141" s="88" t="s">
        <v>349</v>
      </c>
      <c r="D141">
        <v>140</v>
      </c>
      <c r="E141" s="88" t="s">
        <v>350</v>
      </c>
    </row>
    <row r="142" spans="1:5">
      <c r="A142" s="3">
        <v>141</v>
      </c>
      <c r="C142" s="88" t="s">
        <v>349</v>
      </c>
      <c r="D142">
        <v>141</v>
      </c>
      <c r="E142" s="88" t="s">
        <v>350</v>
      </c>
    </row>
    <row r="143" spans="1:5">
      <c r="A143" s="3">
        <v>142</v>
      </c>
      <c r="C143" s="88" t="s">
        <v>349</v>
      </c>
      <c r="D143">
        <v>142</v>
      </c>
      <c r="E143" s="88" t="s">
        <v>350</v>
      </c>
    </row>
    <row r="144" spans="1:5">
      <c r="A144" s="3">
        <v>143</v>
      </c>
      <c r="C144" s="88" t="s">
        <v>349</v>
      </c>
      <c r="D144">
        <v>143</v>
      </c>
      <c r="E144" s="88" t="s">
        <v>350</v>
      </c>
    </row>
    <row r="145" spans="1:5">
      <c r="A145" s="3">
        <v>144</v>
      </c>
      <c r="C145" s="88" t="s">
        <v>349</v>
      </c>
      <c r="D145">
        <v>144</v>
      </c>
      <c r="E145" s="88" t="s">
        <v>350</v>
      </c>
    </row>
    <row r="146" spans="1:5">
      <c r="A146" s="3">
        <v>145</v>
      </c>
      <c r="C146" s="88" t="s">
        <v>349</v>
      </c>
      <c r="D146">
        <v>145</v>
      </c>
      <c r="E146" s="88" t="s">
        <v>350</v>
      </c>
    </row>
    <row r="147" spans="1:5">
      <c r="A147" s="3">
        <v>146</v>
      </c>
      <c r="C147" s="88" t="s">
        <v>349</v>
      </c>
      <c r="D147">
        <v>146</v>
      </c>
      <c r="E147" s="88" t="s">
        <v>350</v>
      </c>
    </row>
    <row r="148" spans="1:5">
      <c r="A148" s="3">
        <v>147</v>
      </c>
      <c r="C148" s="88" t="s">
        <v>349</v>
      </c>
      <c r="D148">
        <v>147</v>
      </c>
      <c r="E148" s="88" t="s">
        <v>350</v>
      </c>
    </row>
    <row r="149" spans="1:5">
      <c r="A149" s="3">
        <v>148</v>
      </c>
      <c r="C149" s="88" t="s">
        <v>349</v>
      </c>
      <c r="D149">
        <v>148</v>
      </c>
      <c r="E149" s="88" t="s">
        <v>350</v>
      </c>
    </row>
    <row r="150" spans="1:5">
      <c r="A150" s="3">
        <v>149</v>
      </c>
      <c r="C150" s="88" t="s">
        <v>349</v>
      </c>
      <c r="D150">
        <v>149</v>
      </c>
      <c r="E150" s="88" t="s">
        <v>350</v>
      </c>
    </row>
    <row r="151" spans="1:5">
      <c r="A151" s="3">
        <v>150</v>
      </c>
      <c r="C151" s="88" t="s">
        <v>349</v>
      </c>
      <c r="D151">
        <v>150</v>
      </c>
      <c r="E151" s="88" t="s">
        <v>350</v>
      </c>
    </row>
    <row r="152" spans="1:5">
      <c r="A152" s="3">
        <v>151</v>
      </c>
      <c r="C152" s="88" t="s">
        <v>349</v>
      </c>
      <c r="D152">
        <v>151</v>
      </c>
      <c r="E152" s="88" t="s">
        <v>350</v>
      </c>
    </row>
    <row r="153" spans="1:5">
      <c r="A153" s="3">
        <v>152</v>
      </c>
      <c r="C153" s="88" t="s">
        <v>349</v>
      </c>
      <c r="D153">
        <v>152</v>
      </c>
      <c r="E153" s="88" t="s">
        <v>350</v>
      </c>
    </row>
    <row r="154" spans="1:5">
      <c r="A154" s="3">
        <v>153</v>
      </c>
      <c r="C154" s="88" t="s">
        <v>349</v>
      </c>
      <c r="D154">
        <v>153</v>
      </c>
      <c r="E154" s="88" t="s">
        <v>350</v>
      </c>
    </row>
    <row r="155" spans="1:5">
      <c r="A155" s="3">
        <v>154</v>
      </c>
      <c r="C155" s="88" t="s">
        <v>349</v>
      </c>
      <c r="D155">
        <v>154</v>
      </c>
      <c r="E155" s="88" t="s">
        <v>350</v>
      </c>
    </row>
    <row r="156" spans="1:5">
      <c r="A156" s="3">
        <v>155</v>
      </c>
      <c r="C156" s="88" t="s">
        <v>349</v>
      </c>
      <c r="D156">
        <v>155</v>
      </c>
      <c r="E156" s="88" t="s">
        <v>350</v>
      </c>
    </row>
    <row r="157" spans="1:5">
      <c r="A157" s="3">
        <v>156</v>
      </c>
      <c r="C157" s="88" t="s">
        <v>349</v>
      </c>
      <c r="D157">
        <v>156</v>
      </c>
      <c r="E157" s="88" t="s">
        <v>350</v>
      </c>
    </row>
    <row r="158" spans="1:5">
      <c r="A158" s="3">
        <v>157</v>
      </c>
      <c r="C158" s="88" t="s">
        <v>349</v>
      </c>
      <c r="D158">
        <v>157</v>
      </c>
      <c r="E158" s="88" t="s">
        <v>350</v>
      </c>
    </row>
    <row r="159" spans="1:5">
      <c r="A159" s="3">
        <v>158</v>
      </c>
      <c r="C159" s="88" t="s">
        <v>349</v>
      </c>
      <c r="D159">
        <v>158</v>
      </c>
      <c r="E159" s="88" t="s">
        <v>350</v>
      </c>
    </row>
    <row r="160" spans="1:5">
      <c r="A160" s="3">
        <v>159</v>
      </c>
      <c r="C160" s="88" t="s">
        <v>349</v>
      </c>
      <c r="D160">
        <v>159</v>
      </c>
      <c r="E160" s="88" t="s">
        <v>350</v>
      </c>
    </row>
    <row r="161" spans="1:5">
      <c r="A161" s="3">
        <v>160</v>
      </c>
      <c r="C161" s="88" t="s">
        <v>349</v>
      </c>
      <c r="D161">
        <v>160</v>
      </c>
      <c r="E161" s="88" t="s">
        <v>350</v>
      </c>
    </row>
    <row r="162" spans="1:5">
      <c r="A162" s="3">
        <v>161</v>
      </c>
      <c r="C162" s="88" t="s">
        <v>349</v>
      </c>
      <c r="D162">
        <v>161</v>
      </c>
      <c r="E162" s="88" t="s">
        <v>350</v>
      </c>
    </row>
    <row r="163" spans="1:5">
      <c r="A163" s="3">
        <v>162</v>
      </c>
      <c r="C163" s="88" t="s">
        <v>349</v>
      </c>
      <c r="D163">
        <v>162</v>
      </c>
      <c r="E163" s="88" t="s">
        <v>350</v>
      </c>
    </row>
    <row r="164" spans="1:5">
      <c r="A164" s="3">
        <v>163</v>
      </c>
      <c r="C164" s="88" t="s">
        <v>349</v>
      </c>
      <c r="D164">
        <v>163</v>
      </c>
      <c r="E164" s="88" t="s">
        <v>350</v>
      </c>
    </row>
    <row r="165" spans="1:5">
      <c r="A165" s="3">
        <v>164</v>
      </c>
      <c r="C165" s="88" t="s">
        <v>349</v>
      </c>
      <c r="D165">
        <v>164</v>
      </c>
      <c r="E165" s="88" t="s">
        <v>350</v>
      </c>
    </row>
    <row r="166" spans="1:5">
      <c r="A166" s="3">
        <v>165</v>
      </c>
      <c r="C166" s="88" t="s">
        <v>349</v>
      </c>
      <c r="D166">
        <v>165</v>
      </c>
      <c r="E166" s="88" t="s">
        <v>350</v>
      </c>
    </row>
    <row r="167" spans="1:5">
      <c r="A167" s="3">
        <v>166</v>
      </c>
      <c r="C167" s="88" t="s">
        <v>349</v>
      </c>
      <c r="D167">
        <v>166</v>
      </c>
      <c r="E167" s="88" t="s">
        <v>350</v>
      </c>
    </row>
    <row r="168" spans="1:5">
      <c r="A168" s="3">
        <v>167</v>
      </c>
      <c r="C168" s="88" t="s">
        <v>349</v>
      </c>
      <c r="D168">
        <v>167</v>
      </c>
      <c r="E168" s="88" t="s">
        <v>350</v>
      </c>
    </row>
    <row r="169" spans="1:5">
      <c r="A169" s="3">
        <v>168</v>
      </c>
      <c r="C169" s="88" t="s">
        <v>349</v>
      </c>
      <c r="D169">
        <v>168</v>
      </c>
      <c r="E169" s="88" t="s">
        <v>350</v>
      </c>
    </row>
    <row r="170" spans="1:5">
      <c r="A170" s="3">
        <v>169</v>
      </c>
      <c r="C170" s="88" t="s">
        <v>349</v>
      </c>
      <c r="D170">
        <v>169</v>
      </c>
      <c r="E170" s="88" t="s">
        <v>350</v>
      </c>
    </row>
    <row r="171" spans="1:5">
      <c r="A171" s="3">
        <v>170</v>
      </c>
      <c r="C171" s="88" t="s">
        <v>349</v>
      </c>
      <c r="D171">
        <v>170</v>
      </c>
      <c r="E171" s="88" t="s">
        <v>350</v>
      </c>
    </row>
    <row r="172" spans="1:5">
      <c r="A172" s="3">
        <v>171</v>
      </c>
      <c r="C172" s="88" t="s">
        <v>349</v>
      </c>
      <c r="D172">
        <v>171</v>
      </c>
      <c r="E172" s="88" t="s">
        <v>350</v>
      </c>
    </row>
    <row r="173" spans="1:5">
      <c r="A173" s="3">
        <v>172</v>
      </c>
      <c r="C173" s="88" t="s">
        <v>349</v>
      </c>
      <c r="D173">
        <v>172</v>
      </c>
      <c r="E173" s="88" t="s">
        <v>350</v>
      </c>
    </row>
    <row r="174" spans="1:5">
      <c r="A174" s="3">
        <v>173</v>
      </c>
      <c r="C174" s="88" t="s">
        <v>349</v>
      </c>
      <c r="D174">
        <v>173</v>
      </c>
      <c r="E174" s="88" t="s">
        <v>350</v>
      </c>
    </row>
    <row r="175" spans="1:5">
      <c r="A175" s="3">
        <v>174</v>
      </c>
      <c r="C175" s="88" t="s">
        <v>349</v>
      </c>
      <c r="D175">
        <v>174</v>
      </c>
      <c r="E175" s="88" t="s">
        <v>350</v>
      </c>
    </row>
    <row r="176" spans="1:5">
      <c r="A176" s="3">
        <v>175</v>
      </c>
      <c r="C176" s="88" t="s">
        <v>349</v>
      </c>
      <c r="D176">
        <v>175</v>
      </c>
      <c r="E176" s="88" t="s">
        <v>350</v>
      </c>
    </row>
    <row r="177" spans="1:5">
      <c r="A177" s="3">
        <v>176</v>
      </c>
      <c r="C177" s="88" t="s">
        <v>349</v>
      </c>
      <c r="D177">
        <v>176</v>
      </c>
      <c r="E177" s="88" t="s">
        <v>350</v>
      </c>
    </row>
    <row r="178" spans="1:5">
      <c r="A178" s="3">
        <v>177</v>
      </c>
      <c r="C178" s="88" t="s">
        <v>349</v>
      </c>
      <c r="D178">
        <v>177</v>
      </c>
      <c r="E178" s="88" t="s">
        <v>350</v>
      </c>
    </row>
    <row r="179" spans="1:5">
      <c r="A179" s="3">
        <v>178</v>
      </c>
      <c r="C179" s="88" t="s">
        <v>349</v>
      </c>
      <c r="D179">
        <v>178</v>
      </c>
      <c r="E179" s="88" t="s">
        <v>350</v>
      </c>
    </row>
    <row r="180" spans="1:5">
      <c r="A180" s="3">
        <v>179</v>
      </c>
      <c r="C180" s="88" t="s">
        <v>349</v>
      </c>
      <c r="D180">
        <v>179</v>
      </c>
      <c r="E180" s="88" t="s">
        <v>350</v>
      </c>
    </row>
    <row r="181" spans="1:5">
      <c r="A181" s="3">
        <v>180</v>
      </c>
      <c r="C181" s="88" t="s">
        <v>349</v>
      </c>
      <c r="D181">
        <v>180</v>
      </c>
      <c r="E181" s="88" t="s">
        <v>350</v>
      </c>
    </row>
    <row r="182" spans="1:5">
      <c r="A182" s="3">
        <v>181</v>
      </c>
      <c r="C182" s="88" t="s">
        <v>349</v>
      </c>
      <c r="D182">
        <v>181</v>
      </c>
      <c r="E182" s="88" t="s">
        <v>350</v>
      </c>
    </row>
    <row r="183" spans="1:5">
      <c r="A183" s="3">
        <v>182</v>
      </c>
      <c r="C183" s="88" t="s">
        <v>349</v>
      </c>
      <c r="D183">
        <v>182</v>
      </c>
      <c r="E183" s="88" t="s">
        <v>350</v>
      </c>
    </row>
    <row r="184" spans="1:5">
      <c r="A184" s="3">
        <v>183</v>
      </c>
      <c r="C184" s="88" t="s">
        <v>349</v>
      </c>
      <c r="D184">
        <v>183</v>
      </c>
      <c r="E184" s="88" t="s">
        <v>350</v>
      </c>
    </row>
    <row r="185" spans="1:5">
      <c r="A185" s="3">
        <v>184</v>
      </c>
      <c r="C185" s="88" t="s">
        <v>349</v>
      </c>
      <c r="D185">
        <v>184</v>
      </c>
      <c r="E185" s="88" t="s">
        <v>350</v>
      </c>
    </row>
    <row r="186" spans="1:5">
      <c r="A186" s="3">
        <v>185</v>
      </c>
      <c r="C186" s="88" t="s">
        <v>349</v>
      </c>
      <c r="D186">
        <v>185</v>
      </c>
      <c r="E186" s="88" t="s">
        <v>350</v>
      </c>
    </row>
    <row r="187" spans="1:5">
      <c r="A187" s="3">
        <v>186</v>
      </c>
      <c r="C187" s="88" t="s">
        <v>349</v>
      </c>
      <c r="D187">
        <v>186</v>
      </c>
      <c r="E187" s="88" t="s">
        <v>350</v>
      </c>
    </row>
    <row r="188" spans="1:5">
      <c r="A188" s="3">
        <v>187</v>
      </c>
      <c r="C188" s="88" t="s">
        <v>349</v>
      </c>
      <c r="D188">
        <v>187</v>
      </c>
      <c r="E188" s="88" t="s">
        <v>350</v>
      </c>
    </row>
    <row r="189" spans="1:5">
      <c r="A189" s="3">
        <v>188</v>
      </c>
      <c r="C189" s="88" t="s">
        <v>349</v>
      </c>
      <c r="D189">
        <v>188</v>
      </c>
      <c r="E189" s="88" t="s">
        <v>350</v>
      </c>
    </row>
    <row r="190" spans="1:5">
      <c r="A190" s="3">
        <v>189</v>
      </c>
      <c r="C190" s="88" t="s">
        <v>349</v>
      </c>
      <c r="D190">
        <v>189</v>
      </c>
      <c r="E190" s="88" t="s">
        <v>350</v>
      </c>
    </row>
    <row r="191" spans="1:5">
      <c r="A191" s="3">
        <v>190</v>
      </c>
      <c r="C191" s="88" t="s">
        <v>349</v>
      </c>
      <c r="D191">
        <v>190</v>
      </c>
      <c r="E191" s="88" t="s">
        <v>350</v>
      </c>
    </row>
    <row r="192" spans="1:5">
      <c r="A192" s="3">
        <v>191</v>
      </c>
      <c r="C192" s="88" t="s">
        <v>349</v>
      </c>
      <c r="D192">
        <v>191</v>
      </c>
      <c r="E192" s="88" t="s">
        <v>350</v>
      </c>
    </row>
    <row r="193" spans="1:5">
      <c r="A193" s="3">
        <v>192</v>
      </c>
      <c r="C193" s="88" t="s">
        <v>349</v>
      </c>
      <c r="D193">
        <v>192</v>
      </c>
      <c r="E193" s="88" t="s">
        <v>350</v>
      </c>
    </row>
    <row r="194" spans="1:5">
      <c r="A194" s="3">
        <v>193</v>
      </c>
      <c r="C194" s="88" t="s">
        <v>349</v>
      </c>
      <c r="D194">
        <v>193</v>
      </c>
      <c r="E194" s="88" t="s">
        <v>350</v>
      </c>
    </row>
    <row r="195" spans="1:5">
      <c r="A195" s="3">
        <v>194</v>
      </c>
      <c r="C195" s="88" t="s">
        <v>349</v>
      </c>
      <c r="D195">
        <v>194</v>
      </c>
      <c r="E195" s="88" t="s">
        <v>350</v>
      </c>
    </row>
    <row r="196" spans="1:5">
      <c r="A196" s="3">
        <v>195</v>
      </c>
      <c r="C196" s="88" t="s">
        <v>349</v>
      </c>
      <c r="D196">
        <v>195</v>
      </c>
      <c r="E196" s="88" t="s">
        <v>350</v>
      </c>
    </row>
    <row r="197" spans="1:5">
      <c r="A197" s="3">
        <v>196</v>
      </c>
      <c r="C197" s="88" t="s">
        <v>349</v>
      </c>
      <c r="D197">
        <v>196</v>
      </c>
      <c r="E197" s="88" t="s">
        <v>350</v>
      </c>
    </row>
    <row r="198" spans="1:5">
      <c r="A198" s="3">
        <v>197</v>
      </c>
      <c r="C198" s="88" t="s">
        <v>349</v>
      </c>
      <c r="D198">
        <v>197</v>
      </c>
      <c r="E198" s="88" t="s">
        <v>350</v>
      </c>
    </row>
    <row r="199" spans="1:5">
      <c r="A199" s="3">
        <v>198</v>
      </c>
      <c r="C199" s="88" t="s">
        <v>349</v>
      </c>
      <c r="D199">
        <v>198</v>
      </c>
      <c r="E199" s="88" t="s">
        <v>350</v>
      </c>
    </row>
    <row r="200" spans="1:5">
      <c r="A200" s="3">
        <v>199</v>
      </c>
      <c r="C200" s="88" t="s">
        <v>349</v>
      </c>
      <c r="D200">
        <v>199</v>
      </c>
      <c r="E200" s="88" t="s">
        <v>350</v>
      </c>
    </row>
    <row r="201" spans="1:5">
      <c r="A201" s="3">
        <v>200</v>
      </c>
      <c r="C201" s="88" t="s">
        <v>349</v>
      </c>
      <c r="D201">
        <v>200</v>
      </c>
      <c r="E201" s="88" t="s">
        <v>350</v>
      </c>
    </row>
    <row r="202" spans="1:5">
      <c r="A202" s="3">
        <v>201</v>
      </c>
      <c r="C202" s="88" t="s">
        <v>349</v>
      </c>
      <c r="D202">
        <v>201</v>
      </c>
      <c r="E202" s="88" t="s">
        <v>350</v>
      </c>
    </row>
    <row r="203" spans="1:5">
      <c r="A203" s="3">
        <v>202</v>
      </c>
      <c r="C203" s="88" t="s">
        <v>349</v>
      </c>
      <c r="D203">
        <v>202</v>
      </c>
      <c r="E203" s="88" t="s">
        <v>350</v>
      </c>
    </row>
    <row r="204" spans="1:5">
      <c r="A204" s="3">
        <v>203</v>
      </c>
      <c r="C204" s="88" t="s">
        <v>349</v>
      </c>
      <c r="D204">
        <v>203</v>
      </c>
      <c r="E204" s="88" t="s">
        <v>350</v>
      </c>
    </row>
    <row r="205" spans="1:5">
      <c r="A205" s="3">
        <v>204</v>
      </c>
      <c r="C205" s="88" t="s">
        <v>349</v>
      </c>
      <c r="D205">
        <v>204</v>
      </c>
      <c r="E205" s="88" t="s">
        <v>350</v>
      </c>
    </row>
    <row r="206" spans="1:5">
      <c r="A206" s="3">
        <v>205</v>
      </c>
      <c r="C206" s="88" t="s">
        <v>349</v>
      </c>
      <c r="D206">
        <v>205</v>
      </c>
      <c r="E206" s="88" t="s">
        <v>350</v>
      </c>
    </row>
    <row r="207" spans="1:5">
      <c r="A207" s="3">
        <v>206</v>
      </c>
      <c r="C207" s="88" t="s">
        <v>349</v>
      </c>
      <c r="D207">
        <v>206</v>
      </c>
      <c r="E207" s="88" t="s">
        <v>350</v>
      </c>
    </row>
    <row r="208" spans="1:5">
      <c r="A208" s="3">
        <v>207</v>
      </c>
      <c r="C208" s="88" t="s">
        <v>349</v>
      </c>
      <c r="D208">
        <v>207</v>
      </c>
      <c r="E208" s="88" t="s">
        <v>350</v>
      </c>
    </row>
    <row r="209" spans="1:5">
      <c r="A209" s="3">
        <v>208</v>
      </c>
      <c r="C209" s="88" t="s">
        <v>349</v>
      </c>
      <c r="D209">
        <v>208</v>
      </c>
      <c r="E209" s="88" t="s">
        <v>350</v>
      </c>
    </row>
    <row r="210" spans="1:5">
      <c r="A210" s="3">
        <v>209</v>
      </c>
      <c r="C210" s="88" t="s">
        <v>349</v>
      </c>
      <c r="D210">
        <v>209</v>
      </c>
      <c r="E210" s="88" t="s">
        <v>350</v>
      </c>
    </row>
    <row r="211" spans="1:5">
      <c r="A211" s="3">
        <v>210</v>
      </c>
      <c r="C211" s="88" t="s">
        <v>349</v>
      </c>
      <c r="D211">
        <v>210</v>
      </c>
      <c r="E211" s="88" t="s">
        <v>350</v>
      </c>
    </row>
    <row r="212" spans="1:5">
      <c r="A212" s="3">
        <v>211</v>
      </c>
      <c r="C212" s="88" t="s">
        <v>349</v>
      </c>
      <c r="D212">
        <v>211</v>
      </c>
      <c r="E212" s="88" t="s">
        <v>350</v>
      </c>
    </row>
    <row r="213" spans="1:5">
      <c r="A213" s="3">
        <v>212</v>
      </c>
      <c r="C213" s="88" t="s">
        <v>349</v>
      </c>
      <c r="D213">
        <v>212</v>
      </c>
      <c r="E213" s="88" t="s">
        <v>350</v>
      </c>
    </row>
    <row r="214" spans="1:5">
      <c r="A214" s="3">
        <v>213</v>
      </c>
      <c r="C214" s="88" t="s">
        <v>349</v>
      </c>
      <c r="D214">
        <v>213</v>
      </c>
      <c r="E214" s="88" t="s">
        <v>350</v>
      </c>
    </row>
    <row r="215" spans="1:5">
      <c r="A215" s="3">
        <v>214</v>
      </c>
      <c r="C215" s="88" t="s">
        <v>349</v>
      </c>
      <c r="D215">
        <v>214</v>
      </c>
      <c r="E215" s="88" t="s">
        <v>350</v>
      </c>
    </row>
    <row r="216" spans="1:5">
      <c r="A216" s="3">
        <v>215</v>
      </c>
      <c r="C216" s="88" t="s">
        <v>349</v>
      </c>
      <c r="D216">
        <v>215</v>
      </c>
      <c r="E216" s="88" t="s">
        <v>350</v>
      </c>
    </row>
    <row r="217" spans="1:5">
      <c r="A217" s="3">
        <v>216</v>
      </c>
      <c r="C217" s="88" t="s">
        <v>349</v>
      </c>
      <c r="D217">
        <v>216</v>
      </c>
      <c r="E217" s="88" t="s">
        <v>350</v>
      </c>
    </row>
    <row r="218" spans="1:5">
      <c r="A218" s="3">
        <v>217</v>
      </c>
      <c r="C218" s="88" t="s">
        <v>349</v>
      </c>
      <c r="D218">
        <v>217</v>
      </c>
      <c r="E218" s="88" t="s">
        <v>350</v>
      </c>
    </row>
    <row r="219" spans="1:5">
      <c r="A219" s="3">
        <v>218</v>
      </c>
      <c r="C219" s="88" t="s">
        <v>349</v>
      </c>
      <c r="D219">
        <v>218</v>
      </c>
      <c r="E219" s="88" t="s">
        <v>350</v>
      </c>
    </row>
    <row r="220" spans="1:5">
      <c r="A220" s="3">
        <v>219</v>
      </c>
      <c r="C220" s="88" t="s">
        <v>349</v>
      </c>
      <c r="D220">
        <v>219</v>
      </c>
      <c r="E220" s="88" t="s">
        <v>350</v>
      </c>
    </row>
    <row r="221" spans="1:5">
      <c r="A221" s="3">
        <v>220</v>
      </c>
      <c r="C221" s="88" t="s">
        <v>349</v>
      </c>
      <c r="D221">
        <v>220</v>
      </c>
      <c r="E221" s="88" t="s">
        <v>350</v>
      </c>
    </row>
    <row r="222" spans="1:5">
      <c r="A222" s="3">
        <v>221</v>
      </c>
      <c r="C222" s="88" t="s">
        <v>349</v>
      </c>
      <c r="D222">
        <v>221</v>
      </c>
      <c r="E222" s="88" t="s">
        <v>350</v>
      </c>
    </row>
    <row r="223" spans="1:5">
      <c r="A223" s="3">
        <v>222</v>
      </c>
      <c r="C223" s="88" t="s">
        <v>349</v>
      </c>
      <c r="D223">
        <v>222</v>
      </c>
      <c r="E223" s="88" t="s">
        <v>350</v>
      </c>
    </row>
    <row r="224" spans="1:5">
      <c r="A224" s="3">
        <v>223</v>
      </c>
      <c r="C224" s="88" t="s">
        <v>349</v>
      </c>
      <c r="D224">
        <v>223</v>
      </c>
      <c r="E224" s="88" t="s">
        <v>350</v>
      </c>
    </row>
    <row r="225" spans="1:5">
      <c r="A225" s="3">
        <v>224</v>
      </c>
      <c r="C225" s="88" t="s">
        <v>349</v>
      </c>
      <c r="D225">
        <v>224</v>
      </c>
      <c r="E225" s="88" t="s">
        <v>350</v>
      </c>
    </row>
    <row r="226" spans="1:5">
      <c r="A226" s="3">
        <v>225</v>
      </c>
      <c r="C226" s="88" t="s">
        <v>349</v>
      </c>
      <c r="D226">
        <v>225</v>
      </c>
      <c r="E226" s="88" t="s">
        <v>350</v>
      </c>
    </row>
    <row r="227" spans="1:5">
      <c r="A227" s="3">
        <v>226</v>
      </c>
      <c r="C227" s="88" t="s">
        <v>349</v>
      </c>
      <c r="D227">
        <v>226</v>
      </c>
      <c r="E227" s="88" t="s">
        <v>350</v>
      </c>
    </row>
    <row r="228" spans="1:5">
      <c r="A228" s="3">
        <v>227</v>
      </c>
      <c r="C228" s="88" t="s">
        <v>349</v>
      </c>
      <c r="D228">
        <v>227</v>
      </c>
      <c r="E228" s="88" t="s">
        <v>350</v>
      </c>
    </row>
    <row r="229" spans="1:5">
      <c r="A229" s="3">
        <v>228</v>
      </c>
      <c r="C229" s="88" t="s">
        <v>349</v>
      </c>
      <c r="D229">
        <v>228</v>
      </c>
      <c r="E229" s="88" t="s">
        <v>350</v>
      </c>
    </row>
    <row r="230" spans="1:5">
      <c r="A230" s="3">
        <v>229</v>
      </c>
      <c r="C230" s="88" t="s">
        <v>349</v>
      </c>
      <c r="D230">
        <v>229</v>
      </c>
      <c r="E230" s="88" t="s">
        <v>350</v>
      </c>
    </row>
    <row r="231" spans="1:5">
      <c r="A231" s="3">
        <v>230</v>
      </c>
      <c r="C231" s="88" t="s">
        <v>349</v>
      </c>
      <c r="D231">
        <v>230</v>
      </c>
      <c r="E231" s="88" t="s">
        <v>350</v>
      </c>
    </row>
    <row r="232" spans="1:5">
      <c r="A232" s="3">
        <v>231</v>
      </c>
      <c r="C232" s="88" t="s">
        <v>349</v>
      </c>
      <c r="D232">
        <v>231</v>
      </c>
      <c r="E232" s="88" t="s">
        <v>350</v>
      </c>
    </row>
    <row r="233" spans="1:5">
      <c r="A233" s="3">
        <v>232</v>
      </c>
      <c r="C233" s="88" t="s">
        <v>349</v>
      </c>
      <c r="D233">
        <v>232</v>
      </c>
      <c r="E233" s="88" t="s">
        <v>350</v>
      </c>
    </row>
    <row r="234" spans="1:5">
      <c r="A234" s="3">
        <v>233</v>
      </c>
      <c r="C234" s="88" t="s">
        <v>349</v>
      </c>
      <c r="D234">
        <v>233</v>
      </c>
      <c r="E234" s="88" t="s">
        <v>350</v>
      </c>
    </row>
    <row r="235" spans="1:5">
      <c r="A235" s="3">
        <v>234</v>
      </c>
      <c r="C235" s="88" t="s">
        <v>349</v>
      </c>
      <c r="D235">
        <v>234</v>
      </c>
      <c r="E235" s="88" t="s">
        <v>350</v>
      </c>
    </row>
    <row r="236" spans="1:5">
      <c r="A236" s="3">
        <v>235</v>
      </c>
      <c r="C236" s="88" t="s">
        <v>349</v>
      </c>
      <c r="D236">
        <v>235</v>
      </c>
      <c r="E236" s="88" t="s">
        <v>350</v>
      </c>
    </row>
    <row r="237" spans="1:5">
      <c r="A237" s="3">
        <v>236</v>
      </c>
      <c r="C237" s="88" t="s">
        <v>349</v>
      </c>
      <c r="D237">
        <v>236</v>
      </c>
      <c r="E237" s="88" t="s">
        <v>350</v>
      </c>
    </row>
    <row r="238" spans="1:5">
      <c r="A238" s="3">
        <v>237</v>
      </c>
      <c r="C238" s="88" t="s">
        <v>349</v>
      </c>
      <c r="D238">
        <v>237</v>
      </c>
      <c r="E238" s="88" t="s">
        <v>350</v>
      </c>
    </row>
    <row r="239" spans="1:5">
      <c r="A239" s="3">
        <v>238</v>
      </c>
      <c r="C239" s="88" t="s">
        <v>349</v>
      </c>
      <c r="D239">
        <v>238</v>
      </c>
      <c r="E239" s="88" t="s">
        <v>350</v>
      </c>
    </row>
    <row r="240" spans="1:5">
      <c r="A240" s="3">
        <v>239</v>
      </c>
      <c r="C240" s="88" t="s">
        <v>349</v>
      </c>
      <c r="D240">
        <v>239</v>
      </c>
      <c r="E240" s="88" t="s">
        <v>350</v>
      </c>
    </row>
    <row r="241" spans="1:5">
      <c r="A241" s="3">
        <v>240</v>
      </c>
      <c r="C241" s="88" t="s">
        <v>349</v>
      </c>
      <c r="D241">
        <v>240</v>
      </c>
      <c r="E241" s="88" t="s">
        <v>350</v>
      </c>
    </row>
    <row r="242" spans="1:5">
      <c r="A242" s="3">
        <v>241</v>
      </c>
      <c r="C242" s="88" t="s">
        <v>349</v>
      </c>
      <c r="D242">
        <v>241</v>
      </c>
      <c r="E242" s="88" t="s">
        <v>350</v>
      </c>
    </row>
    <row r="243" spans="1:5">
      <c r="A243" s="3">
        <v>242</v>
      </c>
      <c r="C243" s="88" t="s">
        <v>349</v>
      </c>
      <c r="D243">
        <v>242</v>
      </c>
      <c r="E243" s="88" t="s">
        <v>350</v>
      </c>
    </row>
    <row r="244" spans="1:5">
      <c r="A244" s="3">
        <v>243</v>
      </c>
      <c r="C244" s="88" t="s">
        <v>349</v>
      </c>
      <c r="D244">
        <v>243</v>
      </c>
      <c r="E244" s="88" t="s">
        <v>350</v>
      </c>
    </row>
    <row r="245" spans="1:5">
      <c r="A245" s="3">
        <v>244</v>
      </c>
      <c r="C245" s="88" t="s">
        <v>349</v>
      </c>
      <c r="D245">
        <v>244</v>
      </c>
      <c r="E245" s="88" t="s">
        <v>350</v>
      </c>
    </row>
    <row r="246" spans="1:5">
      <c r="A246" s="3">
        <v>245</v>
      </c>
      <c r="C246" s="88" t="s">
        <v>349</v>
      </c>
      <c r="D246">
        <v>245</v>
      </c>
      <c r="E246" s="88" t="s">
        <v>350</v>
      </c>
    </row>
    <row r="247" spans="1:5">
      <c r="A247" s="3">
        <v>246</v>
      </c>
      <c r="C247" s="88" t="s">
        <v>349</v>
      </c>
      <c r="D247">
        <v>246</v>
      </c>
      <c r="E247" s="88" t="s">
        <v>350</v>
      </c>
    </row>
    <row r="248" spans="1:5">
      <c r="A248" s="3">
        <v>247</v>
      </c>
      <c r="C248" s="88" t="s">
        <v>349</v>
      </c>
      <c r="D248">
        <v>247</v>
      </c>
      <c r="E248" s="88" t="s">
        <v>350</v>
      </c>
    </row>
    <row r="249" spans="1:5">
      <c r="A249" s="3">
        <v>248</v>
      </c>
      <c r="C249" s="88" t="s">
        <v>349</v>
      </c>
      <c r="D249">
        <v>248</v>
      </c>
      <c r="E249" s="88" t="s">
        <v>350</v>
      </c>
    </row>
    <row r="250" spans="1:5">
      <c r="A250" s="3">
        <v>249</v>
      </c>
      <c r="C250" s="88" t="s">
        <v>349</v>
      </c>
      <c r="D250">
        <v>249</v>
      </c>
      <c r="E250" s="88" t="s">
        <v>350</v>
      </c>
    </row>
    <row r="251" spans="1:5">
      <c r="A251" s="3">
        <v>250</v>
      </c>
      <c r="C251" s="88" t="s">
        <v>349</v>
      </c>
      <c r="D251">
        <v>250</v>
      </c>
      <c r="E251" s="88" t="s">
        <v>350</v>
      </c>
    </row>
    <row r="252" spans="1:5">
      <c r="A252" s="3">
        <v>251</v>
      </c>
      <c r="C252" s="88" t="s">
        <v>349</v>
      </c>
      <c r="D252">
        <v>251</v>
      </c>
      <c r="E252" s="88" t="s">
        <v>350</v>
      </c>
    </row>
    <row r="253" spans="1:5">
      <c r="A253" s="3">
        <v>252</v>
      </c>
      <c r="C253" s="88" t="s">
        <v>349</v>
      </c>
      <c r="D253">
        <v>252</v>
      </c>
      <c r="E253" s="88" t="s">
        <v>350</v>
      </c>
    </row>
    <row r="254" spans="1:5">
      <c r="A254" s="3">
        <v>253</v>
      </c>
      <c r="C254" s="88" t="s">
        <v>349</v>
      </c>
      <c r="D254">
        <v>253</v>
      </c>
      <c r="E254" s="88" t="s">
        <v>350</v>
      </c>
    </row>
    <row r="255" spans="1:5">
      <c r="A255" s="3">
        <v>254</v>
      </c>
      <c r="C255" s="88" t="s">
        <v>349</v>
      </c>
      <c r="D255">
        <v>254</v>
      </c>
      <c r="E255" s="88" t="s">
        <v>350</v>
      </c>
    </row>
    <row r="256" spans="1:5">
      <c r="A256" s="3">
        <v>255</v>
      </c>
      <c r="C256" s="88" t="s">
        <v>349</v>
      </c>
      <c r="D256">
        <v>255</v>
      </c>
      <c r="E256" s="88" t="s">
        <v>350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D3FE4-439F-45F8-97D9-8099ED6A466C}">
  <sheetPr codeName="Sheet3"/>
  <dimension ref="A1:T24"/>
  <sheetViews>
    <sheetView showGridLines="0" tabSelected="1" workbookViewId="0">
      <selection activeCell="G21" sqref="G21"/>
    </sheetView>
  </sheetViews>
  <sheetFormatPr defaultRowHeight="15"/>
  <cols>
    <col min="1" max="1" width="9" style="3"/>
    <col min="2" max="2" width="20.42578125" style="5" customWidth="1"/>
    <col min="7" max="7" width="27.85546875" customWidth="1"/>
    <col min="8" max="8" width="10.28515625" style="3" customWidth="1"/>
    <col min="9" max="9" width="23.140625" customWidth="1"/>
  </cols>
  <sheetData>
    <row r="1" spans="1:20">
      <c r="A1" s="2" t="s">
        <v>63</v>
      </c>
      <c r="B1" s="2"/>
      <c r="C1" s="4"/>
      <c r="D1" s="4"/>
      <c r="E1" s="4"/>
      <c r="F1" s="1"/>
      <c r="G1" s="1"/>
      <c r="H1" s="4"/>
      <c r="I1" s="1"/>
    </row>
    <row r="2" spans="1:20">
      <c r="A2" s="4"/>
      <c r="B2" s="2"/>
      <c r="C2" s="4"/>
      <c r="D2" s="4"/>
      <c r="E2" s="4"/>
      <c r="F2" s="1"/>
      <c r="G2" s="1"/>
      <c r="H2" s="4"/>
      <c r="I2" s="1"/>
    </row>
    <row r="3" spans="1:20" ht="18.75">
      <c r="A3" s="18"/>
      <c r="B3" s="18" t="s">
        <v>0</v>
      </c>
      <c r="C3" s="18" t="s">
        <v>10</v>
      </c>
      <c r="D3" s="18" t="s">
        <v>2</v>
      </c>
      <c r="E3" s="18" t="s">
        <v>3</v>
      </c>
      <c r="F3" s="19" t="s">
        <v>6</v>
      </c>
      <c r="G3" s="19" t="s">
        <v>1</v>
      </c>
      <c r="H3" s="18" t="s">
        <v>69</v>
      </c>
      <c r="I3" s="19" t="s">
        <v>4</v>
      </c>
    </row>
    <row r="4" spans="1:20">
      <c r="A4" s="21"/>
      <c r="B4" s="21"/>
      <c r="C4" s="21">
        <f>SUM(C5:C29)</f>
        <v>4</v>
      </c>
      <c r="D4" s="21">
        <f>SUM(D5:D18)</f>
        <v>0</v>
      </c>
      <c r="E4" s="21"/>
      <c r="F4" s="21"/>
      <c r="G4" s="22"/>
      <c r="H4" s="22" t="s">
        <v>70</v>
      </c>
      <c r="I4" s="21"/>
      <c r="J4" s="22"/>
    </row>
    <row r="5" spans="1:20">
      <c r="A5" s="6">
        <v>0</v>
      </c>
      <c r="B5" s="7" t="s">
        <v>458</v>
      </c>
      <c r="C5" s="6">
        <v>2</v>
      </c>
      <c r="D5" s="6">
        <v>0</v>
      </c>
      <c r="E5" s="6">
        <v>65535</v>
      </c>
      <c r="F5" s="8" t="s">
        <v>459</v>
      </c>
      <c r="G5" s="8" t="s">
        <v>460</v>
      </c>
      <c r="H5" s="6">
        <v>404</v>
      </c>
      <c r="I5" s="8"/>
    </row>
    <row r="6" spans="1:20">
      <c r="A6" s="9">
        <v>1</v>
      </c>
      <c r="B6" s="10" t="s">
        <v>461</v>
      </c>
      <c r="C6" s="13">
        <v>2</v>
      </c>
      <c r="D6" s="13">
        <v>0</v>
      </c>
      <c r="E6" s="13">
        <v>65535</v>
      </c>
      <c r="F6" s="12" t="s">
        <v>459</v>
      </c>
      <c r="G6" s="11" t="s">
        <v>460</v>
      </c>
      <c r="H6" s="9">
        <v>404</v>
      </c>
      <c r="I6" s="12"/>
    </row>
    <row r="9" spans="1:20">
      <c r="L9" s="3" t="s">
        <v>457</v>
      </c>
      <c r="M9" s="5"/>
      <c r="S9" s="3"/>
    </row>
    <row r="10" spans="1:20">
      <c r="L10" s="3"/>
      <c r="M10" s="5"/>
      <c r="S10" s="3"/>
    </row>
    <row r="11" spans="1:20">
      <c r="L11" s="3"/>
      <c r="M11" s="5"/>
      <c r="S11" s="3"/>
    </row>
    <row r="12" spans="1:20">
      <c r="L12" s="9"/>
      <c r="M12" s="10" t="s">
        <v>54</v>
      </c>
      <c r="N12" s="13">
        <v>2</v>
      </c>
      <c r="O12" s="13">
        <v>0</v>
      </c>
      <c r="P12" s="13">
        <f t="shared" ref="P12" si="0">16^N12-1</f>
        <v>255</v>
      </c>
      <c r="Q12" s="12" t="s">
        <v>51</v>
      </c>
      <c r="R12" s="11" t="s">
        <v>56</v>
      </c>
      <c r="S12" s="9">
        <v>100</v>
      </c>
      <c r="T12" s="12"/>
    </row>
    <row r="13" spans="1:20">
      <c r="L13" s="13"/>
      <c r="M13" s="10" t="s">
        <v>57</v>
      </c>
      <c r="N13" s="13">
        <v>2</v>
      </c>
      <c r="O13" s="13">
        <v>0</v>
      </c>
      <c r="P13" s="13">
        <f t="shared" ref="P13:P16" si="1">16^N13-1</f>
        <v>255</v>
      </c>
      <c r="Q13" s="12" t="s">
        <v>8</v>
      </c>
      <c r="R13" s="12" t="s">
        <v>58</v>
      </c>
      <c r="S13" s="13">
        <v>80</v>
      </c>
      <c r="T13" s="12"/>
    </row>
    <row r="14" spans="1:20">
      <c r="L14" s="9"/>
      <c r="M14" s="10" t="s">
        <v>59</v>
      </c>
      <c r="N14" s="13">
        <v>2</v>
      </c>
      <c r="O14" s="13">
        <v>0</v>
      </c>
      <c r="P14" s="13">
        <f t="shared" si="1"/>
        <v>255</v>
      </c>
      <c r="Q14" s="12" t="s">
        <v>8</v>
      </c>
      <c r="R14" s="12" t="s">
        <v>61</v>
      </c>
      <c r="S14" s="13">
        <v>95</v>
      </c>
      <c r="T14" s="12"/>
    </row>
    <row r="15" spans="1:20">
      <c r="L15" s="13"/>
      <c r="M15" s="10" t="s">
        <v>60</v>
      </c>
      <c r="N15" s="13">
        <v>2</v>
      </c>
      <c r="O15" s="13">
        <v>0</v>
      </c>
      <c r="P15" s="13">
        <f t="shared" si="1"/>
        <v>255</v>
      </c>
      <c r="Q15" s="12" t="s">
        <v>8</v>
      </c>
      <c r="R15" s="12" t="s">
        <v>62</v>
      </c>
      <c r="S15" s="13">
        <v>150</v>
      </c>
      <c r="T15" s="12"/>
    </row>
    <row r="16" spans="1:20">
      <c r="L16" s="9"/>
      <c r="M16" s="10" t="s">
        <v>64</v>
      </c>
      <c r="N16" s="13">
        <v>4</v>
      </c>
      <c r="O16" s="13">
        <v>0</v>
      </c>
      <c r="P16" s="13">
        <f t="shared" si="1"/>
        <v>65535</v>
      </c>
      <c r="Q16" s="14" t="s">
        <v>66</v>
      </c>
      <c r="R16" s="12" t="s">
        <v>65</v>
      </c>
      <c r="S16" s="13">
        <v>2000</v>
      </c>
      <c r="T16" s="12"/>
    </row>
    <row r="17" spans="12:20">
      <c r="L17" s="103"/>
      <c r="M17" s="112" t="s">
        <v>129</v>
      </c>
      <c r="N17" s="107">
        <v>2</v>
      </c>
      <c r="O17" s="103">
        <v>0</v>
      </c>
      <c r="P17" s="103">
        <f>16^N17-1</f>
        <v>255</v>
      </c>
      <c r="Q17" s="14" t="s">
        <v>9</v>
      </c>
      <c r="R17" s="12" t="s">
        <v>130</v>
      </c>
      <c r="S17" s="13"/>
      <c r="T17" s="12" t="s">
        <v>133</v>
      </c>
    </row>
    <row r="18" spans="12:20">
      <c r="L18" s="104"/>
      <c r="M18" s="113"/>
      <c r="N18" s="104"/>
      <c r="O18" s="104"/>
      <c r="P18" s="104"/>
      <c r="Q18" s="14" t="s">
        <v>9</v>
      </c>
      <c r="R18" s="12" t="s">
        <v>131</v>
      </c>
      <c r="S18" s="13"/>
      <c r="T18" s="12" t="s">
        <v>133</v>
      </c>
    </row>
    <row r="19" spans="12:20">
      <c r="L19" s="104"/>
      <c r="M19" s="113"/>
      <c r="N19" s="104"/>
      <c r="O19" s="104"/>
      <c r="P19" s="104"/>
      <c r="Q19" s="14" t="s">
        <v>9</v>
      </c>
      <c r="R19" s="12" t="s">
        <v>132</v>
      </c>
      <c r="S19" s="13"/>
      <c r="T19" s="12" t="s">
        <v>133</v>
      </c>
    </row>
    <row r="20" spans="12:20">
      <c r="L20" s="104"/>
      <c r="M20" s="113"/>
      <c r="N20" s="104"/>
      <c r="O20" s="104"/>
      <c r="P20" s="104"/>
      <c r="Q20" s="14" t="s">
        <v>9</v>
      </c>
      <c r="R20" s="12"/>
      <c r="S20" s="13"/>
      <c r="T20" s="12" t="s">
        <v>133</v>
      </c>
    </row>
    <row r="21" spans="12:20">
      <c r="L21" s="104"/>
      <c r="M21" s="113"/>
      <c r="N21" s="104"/>
      <c r="O21" s="104"/>
      <c r="P21" s="104"/>
      <c r="Q21" s="14" t="s">
        <v>9</v>
      </c>
      <c r="R21" s="12"/>
      <c r="S21" s="13"/>
      <c r="T21" s="12" t="s">
        <v>133</v>
      </c>
    </row>
    <row r="22" spans="12:20">
      <c r="L22" s="104"/>
      <c r="M22" s="113"/>
      <c r="N22" s="104"/>
      <c r="O22" s="104"/>
      <c r="P22" s="104"/>
      <c r="Q22" s="14" t="s">
        <v>9</v>
      </c>
      <c r="R22" s="12"/>
      <c r="S22" s="13"/>
      <c r="T22" s="12" t="s">
        <v>133</v>
      </c>
    </row>
    <row r="23" spans="12:20">
      <c r="L23" s="104"/>
      <c r="M23" s="113"/>
      <c r="N23" s="104"/>
      <c r="O23" s="104"/>
      <c r="P23" s="104"/>
      <c r="Q23" s="14" t="s">
        <v>9</v>
      </c>
      <c r="R23" s="12"/>
      <c r="S23" s="13"/>
      <c r="T23" s="12" t="s">
        <v>133</v>
      </c>
    </row>
    <row r="24" spans="12:20">
      <c r="L24" s="106"/>
      <c r="M24" s="116"/>
      <c r="N24" s="106"/>
      <c r="O24" s="106"/>
      <c r="P24" s="106"/>
      <c r="Q24" s="17" t="s">
        <v>9</v>
      </c>
      <c r="R24" s="15"/>
      <c r="S24" s="16"/>
      <c r="T24" s="15" t="s">
        <v>133</v>
      </c>
    </row>
  </sheetData>
  <sheetProtection selectLockedCells="1"/>
  <mergeCells count="5">
    <mergeCell ref="L17:L24"/>
    <mergeCell ref="M17:M24"/>
    <mergeCell ref="N17:N24"/>
    <mergeCell ref="O17:O24"/>
    <mergeCell ref="P17:P24"/>
  </mergeCells>
  <phoneticPr fontId="3" type="noConversion"/>
  <pageMargins left="0.7" right="0.7" top="0.75" bottom="0.75" header="0.3" footer="0.3"/>
  <pageSetup orientation="portrait" horizontalDpi="200" verticalDpi="200" copies="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A3170-0E72-4A6A-A8FD-E215DBDF2A3D}">
  <sheetPr codeName="Sheet4"/>
  <dimension ref="A1:K22"/>
  <sheetViews>
    <sheetView showGridLines="0" workbookViewId="0">
      <selection activeCell="H21" sqref="H21"/>
    </sheetView>
  </sheetViews>
  <sheetFormatPr defaultRowHeight="15"/>
  <cols>
    <col min="1" max="1" width="9.140625" style="3"/>
    <col min="2" max="2" width="24.85546875" style="5" customWidth="1"/>
    <col min="3" max="3" width="11.7109375" bestFit="1" customWidth="1"/>
    <col min="4" max="5" width="11.7109375" customWidth="1"/>
    <col min="9" max="9" width="37" customWidth="1"/>
    <col min="10" max="10" width="7.7109375" style="3" bestFit="1" customWidth="1"/>
    <col min="11" max="11" width="41.7109375" customWidth="1"/>
  </cols>
  <sheetData>
    <row r="1" spans="1:11">
      <c r="A1" s="2" t="s">
        <v>63</v>
      </c>
      <c r="B1" s="2"/>
      <c r="C1" s="4"/>
      <c r="D1" s="4"/>
      <c r="E1" s="4"/>
      <c r="F1" s="4"/>
      <c r="G1" s="4"/>
      <c r="H1" s="1"/>
      <c r="I1" s="1"/>
      <c r="J1" s="4"/>
      <c r="K1" s="1"/>
    </row>
    <row r="2" spans="1:11">
      <c r="A2" s="4"/>
      <c r="B2" s="2"/>
      <c r="C2" s="4"/>
      <c r="D2" s="4"/>
      <c r="E2" s="4"/>
      <c r="F2" s="4"/>
      <c r="G2" s="4"/>
      <c r="H2" s="1"/>
      <c r="I2" s="1"/>
      <c r="J2" s="4"/>
      <c r="K2" s="1"/>
    </row>
    <row r="3" spans="1:11" ht="18.75">
      <c r="A3" s="18"/>
      <c r="B3" s="18" t="s">
        <v>0</v>
      </c>
      <c r="C3" s="18" t="s">
        <v>195</v>
      </c>
      <c r="D3" s="18" t="s">
        <v>223</v>
      </c>
      <c r="E3" s="18" t="s">
        <v>224</v>
      </c>
      <c r="F3" s="18" t="s">
        <v>2</v>
      </c>
      <c r="G3" s="18" t="s">
        <v>3</v>
      </c>
      <c r="H3" s="19" t="s">
        <v>6</v>
      </c>
      <c r="I3" s="19" t="s">
        <v>1</v>
      </c>
      <c r="J3" s="18" t="s">
        <v>282</v>
      </c>
      <c r="K3" s="19" t="s">
        <v>4</v>
      </c>
    </row>
    <row r="4" spans="1:11" s="1" customFormat="1">
      <c r="A4" s="21"/>
      <c r="B4" s="21"/>
      <c r="C4" s="21">
        <f>SUM(C5:C107)</f>
        <v>26</v>
      </c>
      <c r="D4" s="21"/>
      <c r="E4" s="21"/>
      <c r="F4" s="21"/>
      <c r="G4" s="21"/>
      <c r="H4" s="22"/>
      <c r="I4" s="22" t="s">
        <v>70</v>
      </c>
      <c r="J4" s="21"/>
      <c r="K4" s="22"/>
    </row>
    <row r="5" spans="1:11">
      <c r="A5" s="79">
        <v>0</v>
      </c>
      <c r="B5" s="82" t="s">
        <v>212</v>
      </c>
      <c r="C5" s="79">
        <v>1</v>
      </c>
      <c r="D5" s="79">
        <v>0</v>
      </c>
      <c r="E5" s="79">
        <f>D5+C5</f>
        <v>1</v>
      </c>
      <c r="F5" s="79">
        <v>0</v>
      </c>
      <c r="G5" s="79">
        <f t="shared" ref="G5:G20" si="0">16^C5-1</f>
        <v>15</v>
      </c>
      <c r="H5" s="83" t="s">
        <v>95</v>
      </c>
      <c r="I5" s="84" t="s">
        <v>213</v>
      </c>
      <c r="J5" s="85">
        <v>0</v>
      </c>
      <c r="K5" s="61" t="s">
        <v>300</v>
      </c>
    </row>
    <row r="6" spans="1:11">
      <c r="A6" s="70"/>
      <c r="B6" s="71"/>
      <c r="C6" s="70"/>
      <c r="D6" s="70"/>
      <c r="E6" s="70"/>
      <c r="F6" s="70"/>
      <c r="G6" s="70"/>
      <c r="H6" s="72"/>
      <c r="I6" s="73"/>
      <c r="J6" s="86">
        <v>2</v>
      </c>
      <c r="K6" s="62" t="s">
        <v>301</v>
      </c>
    </row>
    <row r="7" spans="1:11">
      <c r="A7" s="64"/>
      <c r="B7" s="65"/>
      <c r="C7" s="64"/>
      <c r="D7" s="64"/>
      <c r="E7" s="64"/>
      <c r="F7" s="64"/>
      <c r="G7" s="64"/>
      <c r="H7" s="81"/>
      <c r="I7" s="66"/>
      <c r="J7" s="86">
        <v>3</v>
      </c>
      <c r="K7" s="62" t="s">
        <v>299</v>
      </c>
    </row>
    <row r="8" spans="1:11">
      <c r="A8" s="63">
        <v>1</v>
      </c>
      <c r="B8" s="67" t="s">
        <v>194</v>
      </c>
      <c r="C8" s="63">
        <v>1</v>
      </c>
      <c r="D8" s="63">
        <f>E1</f>
        <v>0</v>
      </c>
      <c r="E8" s="79">
        <f>D8+C8</f>
        <v>1</v>
      </c>
      <c r="F8" s="63">
        <v>0</v>
      </c>
      <c r="G8" s="63">
        <f t="shared" ref="G8" si="1">16^C8-1</f>
        <v>15</v>
      </c>
      <c r="H8" s="68" t="s">
        <v>95</v>
      </c>
      <c r="I8" s="69" t="s">
        <v>196</v>
      </c>
      <c r="J8" s="86">
        <v>0</v>
      </c>
      <c r="K8" s="62" t="s">
        <v>302</v>
      </c>
    </row>
    <row r="9" spans="1:11">
      <c r="A9" s="70"/>
      <c r="B9" s="71"/>
      <c r="C9" s="70"/>
      <c r="D9" s="70"/>
      <c r="E9" s="70"/>
      <c r="F9" s="70"/>
      <c r="G9" s="70"/>
      <c r="H9" s="72"/>
      <c r="I9" s="73"/>
      <c r="J9" s="86">
        <v>1</v>
      </c>
      <c r="K9" s="62" t="s">
        <v>307</v>
      </c>
    </row>
    <row r="10" spans="1:11">
      <c r="A10" s="70"/>
      <c r="B10" s="71"/>
      <c r="C10" s="70"/>
      <c r="D10" s="70"/>
      <c r="E10" s="70"/>
      <c r="F10" s="70"/>
      <c r="G10" s="70"/>
      <c r="H10" s="72"/>
      <c r="I10" s="73"/>
      <c r="J10" s="86">
        <v>2</v>
      </c>
      <c r="K10" s="62" t="s">
        <v>303</v>
      </c>
    </row>
    <row r="11" spans="1:11">
      <c r="A11" s="70"/>
      <c r="B11" s="71"/>
      <c r="C11" s="70"/>
      <c r="D11" s="70"/>
      <c r="E11" s="70"/>
      <c r="F11" s="70"/>
      <c r="G11" s="70"/>
      <c r="H11" s="72"/>
      <c r="I11" s="73"/>
      <c r="J11" s="86">
        <v>3</v>
      </c>
      <c r="K11" s="62" t="s">
        <v>304</v>
      </c>
    </row>
    <row r="12" spans="1:11">
      <c r="A12" s="70"/>
      <c r="B12" s="71"/>
      <c r="C12" s="70"/>
      <c r="D12" s="70"/>
      <c r="E12" s="70"/>
      <c r="F12" s="70"/>
      <c r="G12" s="70"/>
      <c r="H12" s="72"/>
      <c r="I12" s="73"/>
      <c r="J12" s="86">
        <v>4</v>
      </c>
      <c r="K12" s="62" t="s">
        <v>305</v>
      </c>
    </row>
    <row r="13" spans="1:11">
      <c r="A13" s="64"/>
      <c r="B13" s="65"/>
      <c r="C13" s="64"/>
      <c r="D13" s="64"/>
      <c r="E13" s="64"/>
      <c r="F13" s="64"/>
      <c r="G13" s="64"/>
      <c r="H13" s="81"/>
      <c r="I13" s="66"/>
      <c r="J13" s="86">
        <v>5</v>
      </c>
      <c r="K13" s="62" t="s">
        <v>306</v>
      </c>
    </row>
    <row r="14" spans="1:11">
      <c r="A14" s="9">
        <v>2</v>
      </c>
      <c r="B14" s="10" t="s">
        <v>197</v>
      </c>
      <c r="C14" s="13">
        <v>2</v>
      </c>
      <c r="D14" s="13">
        <f t="shared" ref="D14:D20" si="2">E13</f>
        <v>0</v>
      </c>
      <c r="E14" s="13">
        <f t="shared" ref="E14:E20" si="3">D14+C14</f>
        <v>2</v>
      </c>
      <c r="F14" s="13">
        <v>0</v>
      </c>
      <c r="G14" s="13">
        <f t="shared" si="0"/>
        <v>255</v>
      </c>
      <c r="H14" s="14" t="s">
        <v>95</v>
      </c>
      <c r="I14" s="11" t="s">
        <v>198</v>
      </c>
      <c r="J14" s="13"/>
      <c r="K14" s="12"/>
    </row>
    <row r="15" spans="1:11">
      <c r="A15" s="13">
        <v>3</v>
      </c>
      <c r="B15" s="10" t="s">
        <v>199</v>
      </c>
      <c r="C15" s="13">
        <v>2</v>
      </c>
      <c r="D15" s="13">
        <f t="shared" si="2"/>
        <v>2</v>
      </c>
      <c r="E15" s="13">
        <f t="shared" si="3"/>
        <v>4</v>
      </c>
      <c r="F15" s="13">
        <v>0</v>
      </c>
      <c r="G15" s="13">
        <f t="shared" ref="G15:G16" si="4">16^C15-1</f>
        <v>255</v>
      </c>
      <c r="H15" s="14" t="s">
        <v>95</v>
      </c>
      <c r="I15" s="11" t="s">
        <v>214</v>
      </c>
      <c r="J15" s="13"/>
      <c r="K15" s="12"/>
    </row>
    <row r="16" spans="1:11">
      <c r="A16" s="9">
        <v>4</v>
      </c>
      <c r="B16" s="10" t="s">
        <v>200</v>
      </c>
      <c r="C16" s="13">
        <v>2</v>
      </c>
      <c r="D16" s="13">
        <f t="shared" si="2"/>
        <v>4</v>
      </c>
      <c r="E16" s="13">
        <f t="shared" si="3"/>
        <v>6</v>
      </c>
      <c r="F16" s="13">
        <v>0</v>
      </c>
      <c r="G16" s="13">
        <f t="shared" si="4"/>
        <v>255</v>
      </c>
      <c r="H16" s="14" t="s">
        <v>95</v>
      </c>
      <c r="I16" s="11" t="s">
        <v>215</v>
      </c>
      <c r="J16" s="13"/>
      <c r="K16" s="12"/>
    </row>
    <row r="17" spans="1:11">
      <c r="A17" s="13">
        <v>5</v>
      </c>
      <c r="B17" s="10" t="s">
        <v>201</v>
      </c>
      <c r="C17" s="13">
        <v>2</v>
      </c>
      <c r="D17" s="13">
        <f t="shared" si="2"/>
        <v>6</v>
      </c>
      <c r="E17" s="13">
        <f t="shared" si="3"/>
        <v>8</v>
      </c>
      <c r="F17" s="13">
        <v>0</v>
      </c>
      <c r="G17" s="13">
        <f t="shared" si="0"/>
        <v>255</v>
      </c>
      <c r="H17" s="14" t="s">
        <v>95</v>
      </c>
      <c r="I17" s="12" t="s">
        <v>202</v>
      </c>
      <c r="J17" s="13"/>
      <c r="K17" s="12" t="s">
        <v>203</v>
      </c>
    </row>
    <row r="18" spans="1:11">
      <c r="A18" s="9">
        <v>6</v>
      </c>
      <c r="B18" s="10" t="s">
        <v>204</v>
      </c>
      <c r="C18" s="13">
        <v>4</v>
      </c>
      <c r="D18" s="13">
        <f t="shared" si="2"/>
        <v>8</v>
      </c>
      <c r="E18" s="13">
        <f t="shared" si="3"/>
        <v>12</v>
      </c>
      <c r="F18" s="13">
        <v>0</v>
      </c>
      <c r="G18" s="13">
        <f t="shared" ref="G18" si="5">16^C18-1</f>
        <v>65535</v>
      </c>
      <c r="H18" s="14" t="s">
        <v>205</v>
      </c>
      <c r="I18" s="12" t="s">
        <v>206</v>
      </c>
      <c r="J18" s="13"/>
      <c r="K18" s="12"/>
    </row>
    <row r="19" spans="1:11">
      <c r="A19" s="9">
        <v>7</v>
      </c>
      <c r="B19" s="10" t="s">
        <v>207</v>
      </c>
      <c r="C19" s="13">
        <v>4</v>
      </c>
      <c r="D19" s="13">
        <f t="shared" si="2"/>
        <v>12</v>
      </c>
      <c r="E19" s="13">
        <f t="shared" si="3"/>
        <v>16</v>
      </c>
      <c r="F19" s="13">
        <v>0</v>
      </c>
      <c r="G19" s="13">
        <f t="shared" si="0"/>
        <v>65535</v>
      </c>
      <c r="H19" s="14" t="s">
        <v>205</v>
      </c>
      <c r="I19" s="12" t="s">
        <v>208</v>
      </c>
      <c r="J19" s="13"/>
      <c r="K19" s="12"/>
    </row>
    <row r="20" spans="1:11">
      <c r="A20" s="100">
        <v>8</v>
      </c>
      <c r="B20" s="101" t="s">
        <v>210</v>
      </c>
      <c r="C20" s="63">
        <v>2</v>
      </c>
      <c r="D20" s="63">
        <f t="shared" si="2"/>
        <v>16</v>
      </c>
      <c r="E20" s="63">
        <f t="shared" si="3"/>
        <v>18</v>
      </c>
      <c r="F20" s="63">
        <v>0</v>
      </c>
      <c r="G20" s="63">
        <f t="shared" si="0"/>
        <v>255</v>
      </c>
      <c r="H20" s="68" t="s">
        <v>205</v>
      </c>
      <c r="I20" s="69" t="s">
        <v>209</v>
      </c>
      <c r="J20" s="63"/>
      <c r="K20" s="69" t="s">
        <v>211</v>
      </c>
    </row>
    <row r="21" spans="1:11" ht="45">
      <c r="A21" s="9">
        <v>9</v>
      </c>
      <c r="B21" s="10" t="s">
        <v>448</v>
      </c>
      <c r="C21" s="13">
        <v>4</v>
      </c>
      <c r="D21" s="13">
        <f>E20</f>
        <v>18</v>
      </c>
      <c r="E21" s="13">
        <f t="shared" ref="E21" si="6">D21+C21</f>
        <v>22</v>
      </c>
      <c r="F21" s="13">
        <v>0</v>
      </c>
      <c r="G21" s="13">
        <f t="shared" ref="G21" si="7">16^C21-1</f>
        <v>65535</v>
      </c>
      <c r="H21" s="14" t="s">
        <v>449</v>
      </c>
      <c r="I21" s="12" t="s">
        <v>450</v>
      </c>
      <c r="J21" s="13"/>
      <c r="K21" s="62" t="s">
        <v>454</v>
      </c>
    </row>
    <row r="22" spans="1:11" ht="60">
      <c r="A22" s="46">
        <v>10</v>
      </c>
      <c r="B22" s="59" t="s">
        <v>451</v>
      </c>
      <c r="C22" s="16">
        <v>2</v>
      </c>
      <c r="D22" s="16">
        <f>E21</f>
        <v>22</v>
      </c>
      <c r="E22" s="16">
        <f t="shared" ref="E22" si="8">D22+C22</f>
        <v>24</v>
      </c>
      <c r="F22" s="16">
        <v>0</v>
      </c>
      <c r="G22" s="16">
        <v>1</v>
      </c>
      <c r="H22" s="17" t="s">
        <v>95</v>
      </c>
      <c r="I22" s="102" t="s">
        <v>452</v>
      </c>
      <c r="J22" s="16"/>
      <c r="K22" s="102" t="s">
        <v>453</v>
      </c>
    </row>
  </sheetData>
  <sheetProtection selectLockedCells="1"/>
  <phoneticPr fontId="3" type="noConversion"/>
  <pageMargins left="0.7" right="0.7" top="0.75" bottom="0.75" header="0.3" footer="0.3"/>
  <pageSetup orientation="portrait" horizontalDpi="200" verticalDpi="200" copies="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9AF32-763E-4989-884A-4AE5E4CDCA8A}">
  <dimension ref="A1:J14"/>
  <sheetViews>
    <sheetView showGridLines="0" workbookViewId="0">
      <selection activeCell="A4" sqref="A4:XFD4"/>
    </sheetView>
  </sheetViews>
  <sheetFormatPr defaultRowHeight="15"/>
  <cols>
    <col min="1" max="1" width="9.140625" style="4"/>
    <col min="2" max="2" width="19.28515625" style="4" customWidth="1"/>
    <col min="3" max="3" width="7.7109375" style="4" bestFit="1" customWidth="1"/>
    <col min="4" max="4" width="5.7109375" style="4" bestFit="1" customWidth="1"/>
    <col min="5" max="6" width="9" style="4"/>
    <col min="7" max="7" width="9" style="1"/>
    <col min="8" max="8" width="39.42578125" style="1" bestFit="1" customWidth="1"/>
    <col min="9" max="9" width="7.7109375" style="4" bestFit="1" customWidth="1"/>
    <col min="10" max="10" width="55.28515625" style="1" bestFit="1" customWidth="1"/>
  </cols>
  <sheetData>
    <row r="1" spans="1:10">
      <c r="A1" s="2" t="s">
        <v>436</v>
      </c>
    </row>
    <row r="2" spans="1:10">
      <c r="A2" s="2" t="s">
        <v>297</v>
      </c>
    </row>
    <row r="3" spans="1:10" ht="18.75">
      <c r="A3" s="18"/>
      <c r="B3" s="18" t="s">
        <v>0</v>
      </c>
      <c r="C3" s="18" t="s">
        <v>188</v>
      </c>
      <c r="D3" s="18" t="s">
        <v>295</v>
      </c>
      <c r="E3" s="18" t="s">
        <v>2</v>
      </c>
      <c r="F3" s="18" t="s">
        <v>3</v>
      </c>
      <c r="G3" s="19" t="s">
        <v>6</v>
      </c>
      <c r="H3" s="19" t="s">
        <v>1</v>
      </c>
      <c r="I3" s="18" t="s">
        <v>282</v>
      </c>
      <c r="J3" s="19" t="s">
        <v>4</v>
      </c>
    </row>
    <row r="4" spans="1:10">
      <c r="A4" s="21"/>
      <c r="B4" s="21"/>
      <c r="C4" s="21">
        <f>SUM(C5:C18)</f>
        <v>5</v>
      </c>
      <c r="D4" s="21">
        <f>SUM(D5:D18)</f>
        <v>10</v>
      </c>
      <c r="E4" s="21"/>
      <c r="F4" s="21"/>
      <c r="G4" s="22"/>
      <c r="H4" s="22" t="s">
        <v>70</v>
      </c>
      <c r="I4" s="21"/>
      <c r="J4" s="22"/>
    </row>
    <row r="5" spans="1:10">
      <c r="A5" s="79">
        <v>0</v>
      </c>
      <c r="B5" s="82" t="s">
        <v>423</v>
      </c>
      <c r="C5" s="79">
        <f>D5/2</f>
        <v>1</v>
      </c>
      <c r="D5" s="79">
        <v>2</v>
      </c>
      <c r="E5" s="79">
        <v>0</v>
      </c>
      <c r="F5" s="79">
        <v>1</v>
      </c>
      <c r="G5" s="83" t="s">
        <v>95</v>
      </c>
      <c r="H5" s="84" t="s">
        <v>422</v>
      </c>
      <c r="I5" s="6">
        <v>0</v>
      </c>
      <c r="J5" s="8" t="s">
        <v>420</v>
      </c>
    </row>
    <row r="6" spans="1:10">
      <c r="A6" s="64"/>
      <c r="B6" s="65"/>
      <c r="C6" s="64"/>
      <c r="D6" s="64"/>
      <c r="E6" s="64"/>
      <c r="F6" s="64"/>
      <c r="G6" s="66"/>
      <c r="H6" s="66"/>
      <c r="I6" s="64">
        <v>1</v>
      </c>
      <c r="J6" s="12" t="s">
        <v>421</v>
      </c>
    </row>
    <row r="7" spans="1:10">
      <c r="A7" s="63">
        <v>1</v>
      </c>
      <c r="B7" s="67" t="s">
        <v>424</v>
      </c>
      <c r="C7" s="63">
        <f t="shared" ref="C7:C11" si="0">D7/2</f>
        <v>1</v>
      </c>
      <c r="D7" s="63">
        <v>2</v>
      </c>
      <c r="E7" s="63">
        <v>0</v>
      </c>
      <c r="F7" s="63">
        <v>1</v>
      </c>
      <c r="G7" s="68" t="s">
        <v>95</v>
      </c>
      <c r="H7" s="69" t="s">
        <v>425</v>
      </c>
      <c r="I7" s="13">
        <v>0</v>
      </c>
      <c r="J7" s="12" t="s">
        <v>420</v>
      </c>
    </row>
    <row r="8" spans="1:10">
      <c r="A8" s="64"/>
      <c r="B8" s="65"/>
      <c r="C8" s="64"/>
      <c r="D8" s="64"/>
      <c r="E8" s="64"/>
      <c r="F8" s="64"/>
      <c r="G8" s="66"/>
      <c r="H8" s="66" t="s">
        <v>428</v>
      </c>
      <c r="I8" s="64">
        <v>1</v>
      </c>
      <c r="J8" s="66" t="s">
        <v>421</v>
      </c>
    </row>
    <row r="9" spans="1:10">
      <c r="A9" s="63">
        <v>2</v>
      </c>
      <c r="B9" s="67" t="s">
        <v>426</v>
      </c>
      <c r="C9" s="63">
        <f t="shared" si="0"/>
        <v>1</v>
      </c>
      <c r="D9" s="63">
        <v>2</v>
      </c>
      <c r="E9" s="63">
        <v>0</v>
      </c>
      <c r="F9" s="63">
        <v>1</v>
      </c>
      <c r="G9" s="68" t="s">
        <v>95</v>
      </c>
      <c r="H9" s="69" t="s">
        <v>427</v>
      </c>
      <c r="I9" s="13">
        <v>0</v>
      </c>
      <c r="J9" s="12" t="s">
        <v>420</v>
      </c>
    </row>
    <row r="10" spans="1:10">
      <c r="A10" s="64"/>
      <c r="B10" s="65"/>
      <c r="C10" s="64"/>
      <c r="D10" s="64"/>
      <c r="E10" s="64"/>
      <c r="F10" s="64"/>
      <c r="G10" s="66"/>
      <c r="H10" s="66" t="s">
        <v>428</v>
      </c>
      <c r="I10" s="64">
        <v>1</v>
      </c>
      <c r="J10" s="66" t="s">
        <v>421</v>
      </c>
    </row>
    <row r="11" spans="1:10">
      <c r="A11" s="63">
        <v>3</v>
      </c>
      <c r="B11" s="67" t="s">
        <v>429</v>
      </c>
      <c r="C11" s="63">
        <f t="shared" si="0"/>
        <v>1</v>
      </c>
      <c r="D11" s="63">
        <v>2</v>
      </c>
      <c r="E11" s="63">
        <v>0</v>
      </c>
      <c r="F11" s="63">
        <v>1</v>
      </c>
      <c r="G11" s="68" t="s">
        <v>95</v>
      </c>
      <c r="H11" s="69" t="s">
        <v>430</v>
      </c>
      <c r="I11" s="13">
        <v>0</v>
      </c>
      <c r="J11" s="12" t="s">
        <v>420</v>
      </c>
    </row>
    <row r="12" spans="1:10">
      <c r="A12" s="64"/>
      <c r="B12" s="65"/>
      <c r="C12" s="64"/>
      <c r="D12" s="64"/>
      <c r="E12" s="64"/>
      <c r="F12" s="64"/>
      <c r="G12" s="66"/>
      <c r="H12" s="66" t="s">
        <v>431</v>
      </c>
      <c r="I12" s="64">
        <v>1</v>
      </c>
      <c r="J12" s="66" t="s">
        <v>421</v>
      </c>
    </row>
    <row r="13" spans="1:10">
      <c r="A13" s="63">
        <v>3</v>
      </c>
      <c r="B13" s="67" t="s">
        <v>432</v>
      </c>
      <c r="C13" s="63">
        <f t="shared" ref="C13" si="1">D13/2</f>
        <v>1</v>
      </c>
      <c r="D13" s="63">
        <v>2</v>
      </c>
      <c r="E13" s="63">
        <v>0</v>
      </c>
      <c r="F13" s="63">
        <v>1</v>
      </c>
      <c r="G13" s="68" t="s">
        <v>95</v>
      </c>
      <c r="H13" s="69" t="s">
        <v>433</v>
      </c>
      <c r="I13" s="13">
        <v>0</v>
      </c>
      <c r="J13" s="12" t="s">
        <v>420</v>
      </c>
    </row>
    <row r="14" spans="1:10">
      <c r="A14" s="64"/>
      <c r="B14" s="65"/>
      <c r="C14" s="64"/>
      <c r="D14" s="64"/>
      <c r="E14" s="64"/>
      <c r="F14" s="64"/>
      <c r="G14" s="66"/>
      <c r="H14" s="66" t="s">
        <v>431</v>
      </c>
      <c r="I14" s="64">
        <v>1</v>
      </c>
      <c r="J14" s="66" t="s">
        <v>421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0D59C-39EB-4C20-A939-64234305BC7C}">
  <dimension ref="A1:J10"/>
  <sheetViews>
    <sheetView showGridLines="0" topLeftCell="B1" workbookViewId="0">
      <selection activeCell="F20" sqref="F20"/>
    </sheetView>
  </sheetViews>
  <sheetFormatPr defaultRowHeight="15"/>
  <cols>
    <col min="1" max="1" width="9.140625" style="4"/>
    <col min="2" max="2" width="19.28515625" style="4" customWidth="1"/>
    <col min="3" max="3" width="7.7109375" style="4" bestFit="1" customWidth="1"/>
    <col min="4" max="4" width="5.7109375" style="4" bestFit="1" customWidth="1"/>
    <col min="5" max="6" width="9.140625" style="4"/>
    <col min="7" max="7" width="9.140625" style="1"/>
    <col min="8" max="8" width="39.42578125" style="1" bestFit="1" customWidth="1"/>
    <col min="9" max="9" width="7.7109375" style="4" bestFit="1" customWidth="1"/>
    <col min="10" max="10" width="55.28515625" style="1" bestFit="1" customWidth="1"/>
  </cols>
  <sheetData>
    <row r="1" spans="1:10">
      <c r="A1" s="2" t="s">
        <v>437</v>
      </c>
    </row>
    <row r="2" spans="1:10">
      <c r="A2" s="2" t="s">
        <v>297</v>
      </c>
    </row>
    <row r="3" spans="1:10" ht="18.75">
      <c r="A3" s="18"/>
      <c r="B3" s="18" t="s">
        <v>0</v>
      </c>
      <c r="C3" s="18" t="s">
        <v>188</v>
      </c>
      <c r="D3" s="18" t="s">
        <v>295</v>
      </c>
      <c r="E3" s="18" t="s">
        <v>2</v>
      </c>
      <c r="F3" s="18" t="s">
        <v>3</v>
      </c>
      <c r="G3" s="19" t="s">
        <v>6</v>
      </c>
      <c r="H3" s="19" t="s">
        <v>1</v>
      </c>
      <c r="I3" s="18" t="s">
        <v>282</v>
      </c>
      <c r="J3" s="19" t="s">
        <v>4</v>
      </c>
    </row>
    <row r="4" spans="1:10">
      <c r="A4" s="21"/>
      <c r="B4" s="21"/>
      <c r="C4" s="21">
        <f>SUM(C5:C13)</f>
        <v>1</v>
      </c>
      <c r="D4" s="21">
        <f>SUM(D5:D13)</f>
        <v>2</v>
      </c>
      <c r="E4" s="21"/>
      <c r="F4" s="21"/>
      <c r="G4" s="22"/>
      <c r="H4" s="22" t="s">
        <v>70</v>
      </c>
      <c r="I4" s="21"/>
      <c r="J4" s="22"/>
    </row>
    <row r="5" spans="1:10">
      <c r="A5" s="63">
        <v>1</v>
      </c>
      <c r="B5" s="67" t="s">
        <v>236</v>
      </c>
      <c r="C5" s="63">
        <f t="shared" ref="C5" si="0">D5/2</f>
        <v>1</v>
      </c>
      <c r="D5" s="63">
        <v>2</v>
      </c>
      <c r="E5" s="63">
        <v>0</v>
      </c>
      <c r="F5" s="63">
        <v>1</v>
      </c>
      <c r="G5" s="68" t="s">
        <v>95</v>
      </c>
      <c r="H5" s="69" t="s">
        <v>444</v>
      </c>
      <c r="I5" s="13">
        <v>0</v>
      </c>
      <c r="J5" s="12" t="s">
        <v>438</v>
      </c>
    </row>
    <row r="6" spans="1:10">
      <c r="A6" s="70"/>
      <c r="B6" s="71"/>
      <c r="C6" s="70"/>
      <c r="D6" s="70"/>
      <c r="E6" s="70"/>
      <c r="F6" s="70"/>
      <c r="G6" s="73"/>
      <c r="H6" s="73"/>
      <c r="I6" s="64">
        <v>1</v>
      </c>
      <c r="J6" s="66" t="s">
        <v>439</v>
      </c>
    </row>
    <row r="7" spans="1:10">
      <c r="A7" s="70"/>
      <c r="B7" s="71"/>
      <c r="C7" s="70"/>
      <c r="D7" s="70"/>
      <c r="E7" s="70"/>
      <c r="F7" s="70"/>
      <c r="G7" s="73"/>
      <c r="H7" s="73"/>
      <c r="I7" s="64">
        <v>2</v>
      </c>
      <c r="J7" s="66" t="s">
        <v>443</v>
      </c>
    </row>
    <row r="8" spans="1:10">
      <c r="A8" s="70"/>
      <c r="B8" s="71"/>
      <c r="C8" s="70"/>
      <c r="D8" s="70"/>
      <c r="E8" s="70"/>
      <c r="F8" s="70"/>
      <c r="G8" s="73"/>
      <c r="H8" s="73"/>
      <c r="I8" s="64">
        <v>3</v>
      </c>
      <c r="J8" s="66" t="s">
        <v>442</v>
      </c>
    </row>
    <row r="9" spans="1:10">
      <c r="A9" s="70"/>
      <c r="B9" s="71"/>
      <c r="C9" s="70"/>
      <c r="D9" s="70"/>
      <c r="E9" s="70"/>
      <c r="F9" s="70"/>
      <c r="G9" s="73"/>
      <c r="H9" s="73"/>
      <c r="I9" s="64">
        <v>4</v>
      </c>
      <c r="J9" s="66" t="s">
        <v>441</v>
      </c>
    </row>
    <row r="10" spans="1:10">
      <c r="A10" s="75"/>
      <c r="B10" s="76"/>
      <c r="C10" s="75"/>
      <c r="D10" s="75"/>
      <c r="E10" s="75"/>
      <c r="F10" s="75"/>
      <c r="G10" s="78"/>
      <c r="H10" s="78"/>
      <c r="I10" s="75">
        <v>5</v>
      </c>
      <c r="J10" s="78" t="s">
        <v>440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38B45-3F43-4DF1-ABD5-E08403A91610}">
  <sheetPr codeName="Sheet7"/>
  <dimension ref="A1:CJ63"/>
  <sheetViews>
    <sheetView showGridLines="0" topLeftCell="A22" zoomScale="70" zoomScaleNormal="70" workbookViewId="0">
      <selection activeCell="B29" sqref="B29"/>
    </sheetView>
  </sheetViews>
  <sheetFormatPr defaultRowHeight="15"/>
  <cols>
    <col min="1" max="1" width="12.28515625" customWidth="1"/>
    <col min="2" max="88" width="6" style="3" customWidth="1"/>
    <col min="89" max="89" width="9" customWidth="1"/>
  </cols>
  <sheetData>
    <row r="1" spans="1:21">
      <c r="A1" t="s">
        <v>127</v>
      </c>
      <c r="B1" s="5" t="s">
        <v>75</v>
      </c>
    </row>
    <row r="3" spans="1:21">
      <c r="A3" t="s">
        <v>121</v>
      </c>
    </row>
    <row r="4" spans="1:21">
      <c r="A4" t="s">
        <v>72</v>
      </c>
    </row>
    <row r="6" spans="1:21" ht="28.5" customHeight="1">
      <c r="A6" s="33" t="s">
        <v>113</v>
      </c>
      <c r="B6" s="117"/>
      <c r="C6" s="133"/>
      <c r="D6" s="133"/>
      <c r="E6" s="133"/>
      <c r="F6" s="133"/>
      <c r="G6" s="133"/>
      <c r="H6" s="133"/>
      <c r="I6" s="133"/>
      <c r="J6" s="134"/>
      <c r="K6" s="35" t="s">
        <v>73</v>
      </c>
      <c r="L6" s="137" t="str">
        <f t="shared" ref="L6:L21" ca="1" si="0">IF(B6&lt;&gt;"",CONCATENATE(INDIRECT("B"&amp;U6),INDIRECT("C"&amp;U6),INDIRECT("D"&amp;U6),INDIRECT("E"&amp;U6),INDIRECT("F"&amp;U6),INDIRECT("G"&amp;U6),INDIRECT("H"&amp;U6),INDIRECT("I"&amp;U6),INDIRECT("J"&amp;U6),INDIRECT("K"&amp;U6),INDIRECT("L"&amp;U6),INDIRECT("M"&amp;U6),INDIRECT("U"&amp;U6),INDIRECT("V"&amp;U6),INDIRECT("W"&amp;U6),INDIRECT("X"&amp;U6),INDIRECT("Y"&amp;U6),INDIRECT("AG"&amp;U6),INDIRECT("AO"&amp;U6),INDIRECT("AW"&amp;U6),,INDIRECT("BE"&amp;U6),INDIRECT("BM"&amp;U6),INDIRECT("BU"&amp;U6),INDIRECT("CC"&amp;U6)),"")</f>
        <v/>
      </c>
      <c r="M6" s="138"/>
      <c r="N6" s="138"/>
      <c r="O6" s="138"/>
      <c r="P6" s="138"/>
      <c r="Q6" s="138"/>
      <c r="R6" s="138"/>
      <c r="S6" s="131"/>
      <c r="T6" s="132"/>
      <c r="U6" s="41">
        <v>30</v>
      </c>
    </row>
    <row r="7" spans="1:21" ht="28.5" customHeight="1">
      <c r="A7" s="33" t="s">
        <v>11</v>
      </c>
      <c r="B7" s="117"/>
      <c r="C7" s="118"/>
      <c r="D7" s="118"/>
      <c r="E7" s="118"/>
      <c r="F7" s="118"/>
      <c r="G7" s="118"/>
      <c r="H7" s="118"/>
      <c r="I7" s="118"/>
      <c r="J7" s="119"/>
      <c r="K7" s="35" t="s">
        <v>73</v>
      </c>
      <c r="L7" s="137" t="str">
        <f t="shared" ca="1" si="0"/>
        <v/>
      </c>
      <c r="M7" s="138"/>
      <c r="N7" s="138"/>
      <c r="O7" s="138"/>
      <c r="P7" s="138"/>
      <c r="Q7" s="138"/>
      <c r="R7" s="138"/>
      <c r="S7" s="131"/>
      <c r="T7" s="132"/>
      <c r="U7" s="41">
        <f>U6+2</f>
        <v>32</v>
      </c>
    </row>
    <row r="8" spans="1:21" ht="28.5" customHeight="1">
      <c r="A8" s="33" t="s">
        <v>12</v>
      </c>
      <c r="B8" s="117"/>
      <c r="C8" s="118"/>
      <c r="D8" s="118"/>
      <c r="E8" s="118"/>
      <c r="F8" s="118"/>
      <c r="G8" s="118"/>
      <c r="H8" s="118"/>
      <c r="I8" s="118"/>
      <c r="J8" s="119"/>
      <c r="K8" s="35" t="s">
        <v>73</v>
      </c>
      <c r="L8" s="137" t="str">
        <f t="shared" ca="1" si="0"/>
        <v/>
      </c>
      <c r="M8" s="138"/>
      <c r="N8" s="138"/>
      <c r="O8" s="138"/>
      <c r="P8" s="138"/>
      <c r="Q8" s="138"/>
      <c r="R8" s="138"/>
      <c r="S8" s="131"/>
      <c r="T8" s="132"/>
      <c r="U8" s="41">
        <f t="shared" ref="U8:U21" si="1">U7+2</f>
        <v>34</v>
      </c>
    </row>
    <row r="9" spans="1:21" ht="28.5" customHeight="1">
      <c r="A9" s="33" t="s">
        <v>13</v>
      </c>
      <c r="B9" s="117"/>
      <c r="C9" s="118"/>
      <c r="D9" s="118"/>
      <c r="E9" s="118"/>
      <c r="F9" s="118"/>
      <c r="G9" s="118"/>
      <c r="H9" s="118"/>
      <c r="I9" s="118"/>
      <c r="J9" s="119"/>
      <c r="K9" s="35" t="s">
        <v>73</v>
      </c>
      <c r="L9" s="137" t="str">
        <f t="shared" ca="1" si="0"/>
        <v/>
      </c>
      <c r="M9" s="138"/>
      <c r="N9" s="138"/>
      <c r="O9" s="138"/>
      <c r="P9" s="138"/>
      <c r="Q9" s="138"/>
      <c r="R9" s="138"/>
      <c r="S9" s="131"/>
      <c r="T9" s="132"/>
      <c r="U9" s="41">
        <f t="shared" si="1"/>
        <v>36</v>
      </c>
    </row>
    <row r="10" spans="1:21" ht="28.5" customHeight="1">
      <c r="A10" s="33" t="s">
        <v>14</v>
      </c>
      <c r="B10" s="117"/>
      <c r="C10" s="118"/>
      <c r="D10" s="118"/>
      <c r="E10" s="118"/>
      <c r="F10" s="118"/>
      <c r="G10" s="118"/>
      <c r="H10" s="118"/>
      <c r="I10" s="118"/>
      <c r="J10" s="119"/>
      <c r="K10" s="35" t="s">
        <v>73</v>
      </c>
      <c r="L10" s="137" t="str">
        <f t="shared" ca="1" si="0"/>
        <v/>
      </c>
      <c r="M10" s="138"/>
      <c r="N10" s="138"/>
      <c r="O10" s="138"/>
      <c r="P10" s="138"/>
      <c r="Q10" s="138"/>
      <c r="R10" s="138"/>
      <c r="S10" s="131"/>
      <c r="T10" s="132"/>
      <c r="U10" s="41">
        <f t="shared" si="1"/>
        <v>38</v>
      </c>
    </row>
    <row r="11" spans="1:21" ht="28.5" customHeight="1">
      <c r="A11" s="33" t="s">
        <v>15</v>
      </c>
      <c r="B11" s="117"/>
      <c r="C11" s="118"/>
      <c r="D11" s="118"/>
      <c r="E11" s="118"/>
      <c r="F11" s="118"/>
      <c r="G11" s="118"/>
      <c r="H11" s="118"/>
      <c r="I11" s="118"/>
      <c r="J11" s="119"/>
      <c r="K11" s="35" t="s">
        <v>73</v>
      </c>
      <c r="L11" s="137" t="str">
        <f t="shared" ca="1" si="0"/>
        <v/>
      </c>
      <c r="M11" s="138"/>
      <c r="N11" s="138"/>
      <c r="O11" s="138"/>
      <c r="P11" s="138"/>
      <c r="Q11" s="138"/>
      <c r="R11" s="138"/>
      <c r="S11" s="131"/>
      <c r="T11" s="132"/>
      <c r="U11" s="41">
        <f t="shared" si="1"/>
        <v>40</v>
      </c>
    </row>
    <row r="12" spans="1:21" ht="28.5" customHeight="1">
      <c r="A12" s="33" t="s">
        <v>16</v>
      </c>
      <c r="B12" s="117"/>
      <c r="C12" s="118"/>
      <c r="D12" s="118"/>
      <c r="E12" s="118"/>
      <c r="F12" s="118"/>
      <c r="G12" s="118"/>
      <c r="H12" s="118"/>
      <c r="I12" s="118"/>
      <c r="J12" s="119"/>
      <c r="K12" s="35" t="s">
        <v>73</v>
      </c>
      <c r="L12" s="137" t="str">
        <f t="shared" ca="1" si="0"/>
        <v/>
      </c>
      <c r="M12" s="138"/>
      <c r="N12" s="138"/>
      <c r="O12" s="138"/>
      <c r="P12" s="138"/>
      <c r="Q12" s="138"/>
      <c r="R12" s="138"/>
      <c r="S12" s="131"/>
      <c r="T12" s="132"/>
      <c r="U12" s="41">
        <f t="shared" si="1"/>
        <v>42</v>
      </c>
    </row>
    <row r="13" spans="1:21" ht="28.5" customHeight="1">
      <c r="A13" s="33" t="s">
        <v>17</v>
      </c>
      <c r="B13" s="117"/>
      <c r="C13" s="118"/>
      <c r="D13" s="118"/>
      <c r="E13" s="118"/>
      <c r="F13" s="118"/>
      <c r="G13" s="118"/>
      <c r="H13" s="118"/>
      <c r="I13" s="118"/>
      <c r="J13" s="119"/>
      <c r="K13" s="35" t="s">
        <v>73</v>
      </c>
      <c r="L13" s="137" t="str">
        <f t="shared" ca="1" si="0"/>
        <v/>
      </c>
      <c r="M13" s="138"/>
      <c r="N13" s="138"/>
      <c r="O13" s="138"/>
      <c r="P13" s="138"/>
      <c r="Q13" s="138"/>
      <c r="R13" s="138"/>
      <c r="S13" s="131"/>
      <c r="T13" s="132"/>
      <c r="U13" s="41">
        <f t="shared" si="1"/>
        <v>44</v>
      </c>
    </row>
    <row r="14" spans="1:21" ht="28.5" customHeight="1">
      <c r="A14" s="33" t="s">
        <v>18</v>
      </c>
      <c r="B14" s="117"/>
      <c r="C14" s="118"/>
      <c r="D14" s="118"/>
      <c r="E14" s="118"/>
      <c r="F14" s="118"/>
      <c r="G14" s="118"/>
      <c r="H14" s="118"/>
      <c r="I14" s="118"/>
      <c r="J14" s="119"/>
      <c r="K14" s="35" t="s">
        <v>73</v>
      </c>
      <c r="L14" s="137" t="str">
        <f t="shared" ca="1" si="0"/>
        <v/>
      </c>
      <c r="M14" s="138"/>
      <c r="N14" s="138"/>
      <c r="O14" s="138"/>
      <c r="P14" s="138"/>
      <c r="Q14" s="138"/>
      <c r="R14" s="138"/>
      <c r="S14" s="131"/>
      <c r="T14" s="132"/>
      <c r="U14" s="41">
        <f t="shared" si="1"/>
        <v>46</v>
      </c>
    </row>
    <row r="15" spans="1:21" ht="28.5" customHeight="1">
      <c r="A15" s="33" t="s">
        <v>19</v>
      </c>
      <c r="B15" s="117"/>
      <c r="C15" s="118"/>
      <c r="D15" s="118"/>
      <c r="E15" s="118"/>
      <c r="F15" s="118"/>
      <c r="G15" s="118"/>
      <c r="H15" s="118"/>
      <c r="I15" s="118"/>
      <c r="J15" s="119"/>
      <c r="K15" s="35" t="s">
        <v>73</v>
      </c>
      <c r="L15" s="137" t="str">
        <f t="shared" ca="1" si="0"/>
        <v/>
      </c>
      <c r="M15" s="138"/>
      <c r="N15" s="138"/>
      <c r="O15" s="138"/>
      <c r="P15" s="138"/>
      <c r="Q15" s="138"/>
      <c r="R15" s="138"/>
      <c r="S15" s="131"/>
      <c r="T15" s="132"/>
      <c r="U15" s="41">
        <f t="shared" si="1"/>
        <v>48</v>
      </c>
    </row>
    <row r="16" spans="1:21" ht="28.5" customHeight="1">
      <c r="A16" s="33" t="s">
        <v>20</v>
      </c>
      <c r="B16" s="117"/>
      <c r="C16" s="118"/>
      <c r="D16" s="118"/>
      <c r="E16" s="118"/>
      <c r="F16" s="118"/>
      <c r="G16" s="118"/>
      <c r="H16" s="118"/>
      <c r="I16" s="118"/>
      <c r="J16" s="119"/>
      <c r="K16" s="35" t="s">
        <v>73</v>
      </c>
      <c r="L16" s="137" t="str">
        <f t="shared" ca="1" si="0"/>
        <v/>
      </c>
      <c r="M16" s="138"/>
      <c r="N16" s="138"/>
      <c r="O16" s="138"/>
      <c r="P16" s="138"/>
      <c r="Q16" s="138"/>
      <c r="R16" s="138"/>
      <c r="S16" s="131"/>
      <c r="T16" s="132"/>
      <c r="U16" s="41">
        <f t="shared" si="1"/>
        <v>50</v>
      </c>
    </row>
    <row r="17" spans="1:88" ht="28.5" customHeight="1">
      <c r="A17" s="33" t="s">
        <v>22</v>
      </c>
      <c r="B17" s="117"/>
      <c r="C17" s="118"/>
      <c r="D17" s="118"/>
      <c r="E17" s="118"/>
      <c r="F17" s="118"/>
      <c r="G17" s="118"/>
      <c r="H17" s="118"/>
      <c r="I17" s="118"/>
      <c r="J17" s="119"/>
      <c r="K17" s="35" t="s">
        <v>73</v>
      </c>
      <c r="L17" s="137" t="str">
        <f t="shared" ca="1" si="0"/>
        <v/>
      </c>
      <c r="M17" s="138"/>
      <c r="N17" s="138"/>
      <c r="O17" s="138"/>
      <c r="P17" s="138"/>
      <c r="Q17" s="138"/>
      <c r="R17" s="138"/>
      <c r="S17" s="131"/>
      <c r="T17" s="132"/>
      <c r="U17" s="41">
        <f t="shared" si="1"/>
        <v>52</v>
      </c>
    </row>
    <row r="18" spans="1:88" ht="28.5" customHeight="1">
      <c r="A18" s="33" t="s">
        <v>23</v>
      </c>
      <c r="B18" s="117"/>
      <c r="C18" s="118"/>
      <c r="D18" s="118"/>
      <c r="E18" s="118"/>
      <c r="F18" s="118"/>
      <c r="G18" s="118"/>
      <c r="H18" s="118"/>
      <c r="I18" s="118"/>
      <c r="J18" s="119"/>
      <c r="K18" s="35" t="s">
        <v>73</v>
      </c>
      <c r="L18" s="137" t="str">
        <f t="shared" ca="1" si="0"/>
        <v/>
      </c>
      <c r="M18" s="138"/>
      <c r="N18" s="138"/>
      <c r="O18" s="138"/>
      <c r="P18" s="138"/>
      <c r="Q18" s="138"/>
      <c r="R18" s="138"/>
      <c r="S18" s="131"/>
      <c r="T18" s="132"/>
      <c r="U18" s="41">
        <f t="shared" si="1"/>
        <v>54</v>
      </c>
    </row>
    <row r="19" spans="1:88" ht="28.5" customHeight="1">
      <c r="A19" s="33" t="s">
        <v>24</v>
      </c>
      <c r="B19" s="117"/>
      <c r="C19" s="118"/>
      <c r="D19" s="118"/>
      <c r="E19" s="118"/>
      <c r="F19" s="118"/>
      <c r="G19" s="118"/>
      <c r="H19" s="118"/>
      <c r="I19" s="118"/>
      <c r="J19" s="119"/>
      <c r="K19" s="35" t="s">
        <v>73</v>
      </c>
      <c r="L19" s="137" t="str">
        <f t="shared" ca="1" si="0"/>
        <v/>
      </c>
      <c r="M19" s="138"/>
      <c r="N19" s="138"/>
      <c r="O19" s="138"/>
      <c r="P19" s="138"/>
      <c r="Q19" s="138"/>
      <c r="R19" s="138"/>
      <c r="S19" s="131"/>
      <c r="T19" s="132"/>
      <c r="U19" s="41">
        <f t="shared" si="1"/>
        <v>56</v>
      </c>
    </row>
    <row r="20" spans="1:88" ht="28.5" customHeight="1">
      <c r="A20" s="33" t="s">
        <v>25</v>
      </c>
      <c r="B20" s="117"/>
      <c r="C20" s="118"/>
      <c r="D20" s="118"/>
      <c r="E20" s="118"/>
      <c r="F20" s="118"/>
      <c r="G20" s="118"/>
      <c r="H20" s="118"/>
      <c r="I20" s="118"/>
      <c r="J20" s="119"/>
      <c r="K20" s="35" t="s">
        <v>73</v>
      </c>
      <c r="L20" s="137" t="str">
        <f t="shared" ca="1" si="0"/>
        <v/>
      </c>
      <c r="M20" s="138"/>
      <c r="N20" s="138"/>
      <c r="O20" s="138"/>
      <c r="P20" s="138"/>
      <c r="Q20" s="138"/>
      <c r="R20" s="138"/>
      <c r="S20" s="131"/>
      <c r="T20" s="132"/>
      <c r="U20" s="41">
        <f t="shared" si="1"/>
        <v>58</v>
      </c>
      <c r="AA20" s="3" t="str">
        <f t="shared" ref="AA20" si="2">CONCATENATE(B73,C73,D73,E73,F73,G73,H73,I73,J73,K73,L73,M73,U73,V73,W73,X73,Y73,AG73,AO73,AW73)</f>
        <v/>
      </c>
      <c r="BG20" s="3" t="str">
        <f t="shared" ref="BG20" si="3">CONCATENATE(AH73,AI73,AJ73,AK73,AL73,AM73,AN73,AO73,AP73,AQ73,AR73,AS73,BA73,BB73,BC73,BD73,BE73,BM73,BU73,CC73)</f>
        <v/>
      </c>
    </row>
    <row r="21" spans="1:88" ht="28.5" customHeight="1">
      <c r="A21" s="33" t="s">
        <v>122</v>
      </c>
      <c r="B21" s="117"/>
      <c r="C21" s="118"/>
      <c r="D21" s="118"/>
      <c r="E21" s="118"/>
      <c r="F21" s="118"/>
      <c r="G21" s="118"/>
      <c r="H21" s="118"/>
      <c r="I21" s="118"/>
      <c r="J21" s="119"/>
      <c r="K21" s="35" t="s">
        <v>73</v>
      </c>
      <c r="L21" s="137" t="str">
        <f t="shared" ca="1" si="0"/>
        <v/>
      </c>
      <c r="M21" s="138"/>
      <c r="N21" s="138"/>
      <c r="O21" s="138"/>
      <c r="P21" s="138"/>
      <c r="Q21" s="138"/>
      <c r="R21" s="138"/>
      <c r="S21" s="131"/>
      <c r="T21" s="132"/>
      <c r="U21" s="41">
        <f t="shared" si="1"/>
        <v>60</v>
      </c>
    </row>
    <row r="22" spans="1:88">
      <c r="A22" s="34" t="s">
        <v>128</v>
      </c>
      <c r="B22" s="40">
        <v>4</v>
      </c>
      <c r="C22" s="34" t="s">
        <v>134</v>
      </c>
      <c r="D22" s="49">
        <v>0</v>
      </c>
      <c r="E22" s="4"/>
      <c r="F22" s="4"/>
      <c r="G22" s="4"/>
      <c r="H22" s="4"/>
      <c r="I22" s="4"/>
      <c r="J22" s="4"/>
      <c r="K22" s="4"/>
      <c r="L22" s="4"/>
      <c r="M22" s="4"/>
      <c r="N22" s="4"/>
      <c r="O22" s="4"/>
      <c r="P22" s="4"/>
      <c r="Q22" s="4"/>
      <c r="R22" s="4"/>
      <c r="S22" s="4"/>
      <c r="T22" s="4"/>
    </row>
    <row r="23" spans="1:88" ht="82.9" customHeight="1">
      <c r="A23" s="48" t="s">
        <v>71</v>
      </c>
      <c r="B23" s="129" t="e">
        <v>#REF!</v>
      </c>
      <c r="C23" s="130"/>
      <c r="D23" s="130"/>
      <c r="E23" s="130"/>
      <c r="F23" s="130"/>
      <c r="G23" s="130"/>
      <c r="H23" s="130"/>
      <c r="I23" s="130"/>
      <c r="J23" s="130"/>
      <c r="K23" s="130"/>
      <c r="L23" s="130"/>
      <c r="M23" s="130"/>
      <c r="N23" s="130"/>
      <c r="O23" s="130"/>
      <c r="P23" s="130"/>
      <c r="Q23" s="130"/>
      <c r="R23" s="130"/>
      <c r="S23" s="131"/>
      <c r="T23" s="132"/>
    </row>
    <row r="24" spans="1:88">
      <c r="B24" s="2"/>
      <c r="C24" s="36"/>
      <c r="D24" s="4"/>
      <c r="E24" s="4"/>
      <c r="F24" s="37"/>
      <c r="G24" s="4"/>
      <c r="H24" s="37"/>
      <c r="I24" s="4"/>
      <c r="J24" s="4"/>
      <c r="K24" s="4"/>
      <c r="L24" s="4"/>
      <c r="M24" s="4"/>
      <c r="N24" s="4"/>
      <c r="O24" s="4"/>
      <c r="P24" s="4"/>
      <c r="Q24" s="4"/>
      <c r="R24" s="4"/>
      <c r="S24" s="4"/>
      <c r="T24" s="4"/>
    </row>
    <row r="25" spans="1:88">
      <c r="B25" s="126" t="s">
        <v>115</v>
      </c>
      <c r="C25" s="126"/>
      <c r="D25" s="126"/>
      <c r="E25" s="126"/>
      <c r="F25" s="127" t="s">
        <v>116</v>
      </c>
      <c r="G25" s="126"/>
      <c r="H25" s="126"/>
      <c r="I25" s="127" t="s">
        <v>117</v>
      </c>
      <c r="J25" s="126"/>
      <c r="K25" s="127" t="s">
        <v>118</v>
      </c>
      <c r="L25" s="126"/>
      <c r="M25" s="128" t="s">
        <v>114</v>
      </c>
      <c r="N25" s="121"/>
      <c r="O25" s="121"/>
      <c r="P25" s="121"/>
      <c r="Q25" s="121"/>
      <c r="R25" s="121"/>
      <c r="S25" s="121"/>
      <c r="T25" s="122"/>
      <c r="U25" s="38" t="s">
        <v>119</v>
      </c>
      <c r="V25" s="38" t="s">
        <v>67</v>
      </c>
      <c r="W25" s="127" t="s">
        <v>120</v>
      </c>
      <c r="X25" s="126"/>
      <c r="Y25" s="120" t="s">
        <v>77</v>
      </c>
      <c r="Z25" s="121"/>
      <c r="AA25" s="121"/>
      <c r="AB25" s="121"/>
      <c r="AC25" s="121"/>
      <c r="AD25" s="121"/>
      <c r="AE25" s="121"/>
      <c r="AF25" s="121"/>
      <c r="AG25" s="121"/>
      <c r="AH25" s="121"/>
      <c r="AI25" s="121"/>
      <c r="AJ25" s="121"/>
      <c r="AK25" s="121"/>
      <c r="AL25" s="121"/>
      <c r="AM25" s="121"/>
      <c r="AN25" s="122"/>
      <c r="AO25" s="120" t="s">
        <v>78</v>
      </c>
      <c r="AP25" s="121"/>
      <c r="AQ25" s="121"/>
      <c r="AR25" s="121"/>
      <c r="AS25" s="121"/>
      <c r="AT25" s="121"/>
      <c r="AU25" s="121"/>
      <c r="AV25" s="121"/>
      <c r="AW25" s="121"/>
      <c r="AX25" s="121"/>
      <c r="AY25" s="121"/>
      <c r="AZ25" s="121"/>
      <c r="BA25" s="121"/>
      <c r="BB25" s="121"/>
      <c r="BC25" s="121"/>
      <c r="BD25" s="122"/>
      <c r="BE25" s="120" t="s">
        <v>146</v>
      </c>
      <c r="BF25" s="121"/>
      <c r="BG25" s="121"/>
      <c r="BH25" s="121"/>
      <c r="BI25" s="121"/>
      <c r="BJ25" s="121"/>
      <c r="BK25" s="121"/>
      <c r="BL25" s="121"/>
      <c r="BM25" s="121"/>
      <c r="BN25" s="121"/>
      <c r="BO25" s="121"/>
      <c r="BP25" s="121"/>
      <c r="BQ25" s="121"/>
      <c r="BR25" s="121"/>
      <c r="BS25" s="121"/>
      <c r="BT25" s="122"/>
      <c r="BU25" s="120" t="s">
        <v>147</v>
      </c>
      <c r="BV25" s="121"/>
      <c r="BW25" s="121"/>
      <c r="BX25" s="121"/>
      <c r="BY25" s="121"/>
      <c r="BZ25" s="121"/>
      <c r="CA25" s="121"/>
      <c r="CB25" s="121"/>
      <c r="CC25" s="121"/>
      <c r="CD25" s="121"/>
      <c r="CE25" s="121"/>
      <c r="CF25" s="121"/>
      <c r="CG25" s="121"/>
      <c r="CH25" s="121"/>
      <c r="CI25" s="121"/>
      <c r="CJ25" s="122"/>
    </row>
    <row r="26" spans="1:88" s="44" customFormat="1" ht="142.35" customHeight="1">
      <c r="A26" s="42"/>
      <c r="B26" s="43" t="str">
        <f t="shared" ref="B26:L26" ca="1" si="4">IF(INDIRECT("'parameters recipe'!G"&amp;B28)&lt;&gt;0,INDIRECT("'parameters recipe'!G"&amp;B28),"")</f>
        <v>°C</v>
      </c>
      <c r="C26" s="43" t="str">
        <f t="shared" ca="1" si="4"/>
        <v/>
      </c>
      <c r="D26" s="43" t="str">
        <f t="shared" ca="1" si="4"/>
        <v>°C</v>
      </c>
      <c r="E26" s="43" t="str">
        <f t="shared" ca="1" si="4"/>
        <v/>
      </c>
      <c r="F26" s="43" t="str">
        <f t="shared" ca="1" si="4"/>
        <v>°C</v>
      </c>
      <c r="G26" s="43" t="str">
        <f t="shared" ca="1" si="4"/>
        <v/>
      </c>
      <c r="H26" s="43" t="str">
        <f t="shared" ca="1" si="4"/>
        <v>°C</v>
      </c>
      <c r="I26" s="43" t="str">
        <f t="shared" ca="1" si="4"/>
        <v/>
      </c>
      <c r="J26" s="43" t="str">
        <f t="shared" ca="1" si="4"/>
        <v>x 0.1 ml/s</v>
      </c>
      <c r="K26" s="43" t="str">
        <f t="shared" ca="1" si="4"/>
        <v/>
      </c>
      <c r="L26" s="43" t="str">
        <f t="shared" ca="1" si="4"/>
        <v>x 0.1 ml/s</v>
      </c>
      <c r="M26" s="43" t="str">
        <f ca="1">IF(INDIRECT("'parameters recipe'!G"&amp;M28)&lt;&gt;0,INDIRECT("'parameters recipe'!G"&amp;M28),"")</f>
        <v/>
      </c>
      <c r="N26" s="43" t="str">
        <f t="shared" ref="N26:BD26" ca="1" si="5">IF(INDIRECT("'parameters recipe'!G"&amp;N28)&lt;&gt;0,INDIRECT("'parameters recipe'!G"&amp;N28),"")</f>
        <v>%</v>
      </c>
      <c r="O26" s="43" t="str">
        <f t="shared" ca="1" si="5"/>
        <v/>
      </c>
      <c r="P26" s="43" t="str">
        <f t="shared" ca="1" si="5"/>
        <v>x 0.1 Bar</v>
      </c>
      <c r="Q26" s="43" t="str">
        <f t="shared" ca="1" si="5"/>
        <v>x 0.1 Bar</v>
      </c>
      <c r="R26" s="43" t="str">
        <f t="shared" ca="1" si="5"/>
        <v>ml</v>
      </c>
      <c r="S26" s="43" t="str">
        <f t="shared" ca="1" si="5"/>
        <v>ml</v>
      </c>
      <c r="T26" s="43" t="str">
        <f t="shared" ca="1" si="5"/>
        <v>-</v>
      </c>
      <c r="U26" s="43" t="str">
        <f t="shared" ca="1" si="5"/>
        <v/>
      </c>
      <c r="V26" s="43" t="str">
        <f t="shared" ca="1" si="5"/>
        <v/>
      </c>
      <c r="W26" s="43" t="str">
        <f t="shared" ca="1" si="5"/>
        <v/>
      </c>
      <c r="X26" s="43" t="str">
        <f t="shared" ca="1" si="5"/>
        <v/>
      </c>
      <c r="Y26" s="43" t="str">
        <f t="shared" ca="1" si="5"/>
        <v/>
      </c>
      <c r="Z26" s="43" t="str">
        <f t="shared" ca="1" si="5"/>
        <v/>
      </c>
      <c r="AA26" s="43" t="str">
        <f t="shared" ca="1" si="5"/>
        <v/>
      </c>
      <c r="AB26" s="43" t="str">
        <f t="shared" ca="1" si="5"/>
        <v/>
      </c>
      <c r="AC26" s="43" t="str">
        <f t="shared" ca="1" si="5"/>
        <v/>
      </c>
      <c r="AD26" s="43" t="str">
        <f t="shared" ca="1" si="5"/>
        <v>-</v>
      </c>
      <c r="AE26" s="43" t="str">
        <f t="shared" ca="1" si="5"/>
        <v/>
      </c>
      <c r="AF26" s="43" t="str">
        <f t="shared" ca="1" si="5"/>
        <v/>
      </c>
      <c r="AG26" s="43" t="str">
        <f t="shared" ca="1" si="5"/>
        <v/>
      </c>
      <c r="AH26" s="43" t="str">
        <f t="shared" ca="1" si="5"/>
        <v/>
      </c>
      <c r="AI26" s="43" t="str">
        <f t="shared" ca="1" si="5"/>
        <v/>
      </c>
      <c r="AJ26" s="43" t="str">
        <f t="shared" ca="1" si="5"/>
        <v>x 0.1 s</v>
      </c>
      <c r="AK26" s="43" t="str">
        <f t="shared" ca="1" si="5"/>
        <v>-</v>
      </c>
      <c r="AL26" s="43" t="str">
        <f t="shared" ca="1" si="5"/>
        <v/>
      </c>
      <c r="AM26" s="43" t="str">
        <f t="shared" ca="1" si="5"/>
        <v/>
      </c>
      <c r="AN26" s="43" t="str">
        <f t="shared" ca="1" si="5"/>
        <v/>
      </c>
      <c r="AO26" s="43" t="str">
        <f t="shared" ca="1" si="5"/>
        <v>-</v>
      </c>
      <c r="AP26" s="43" t="str">
        <f t="shared" ca="1" si="5"/>
        <v/>
      </c>
      <c r="AQ26" s="43" t="str">
        <f t="shared" ca="1" si="5"/>
        <v/>
      </c>
      <c r="AR26" s="43" t="str">
        <f t="shared" ca="1" si="5"/>
        <v/>
      </c>
      <c r="AS26" s="43" t="str">
        <f t="shared" ca="1" si="5"/>
        <v>-</v>
      </c>
      <c r="AT26" s="43" t="str">
        <f t="shared" ca="1" si="5"/>
        <v>-</v>
      </c>
      <c r="AU26" s="43" t="str">
        <f t="shared" ca="1" si="5"/>
        <v>-</v>
      </c>
      <c r="AV26" s="43" t="str">
        <f t="shared" ca="1" si="5"/>
        <v>-</v>
      </c>
      <c r="AW26" s="43" t="str">
        <f t="shared" ca="1" si="5"/>
        <v>-</v>
      </c>
      <c r="AX26" s="43" t="str">
        <f t="shared" ca="1" si="5"/>
        <v>-</v>
      </c>
      <c r="AY26" s="43" t="str">
        <f t="shared" ca="1" si="5"/>
        <v>-</v>
      </c>
      <c r="AZ26" s="43" t="str">
        <f t="shared" ca="1" si="5"/>
        <v>-</v>
      </c>
      <c r="BA26" s="43" t="str">
        <f t="shared" ca="1" si="5"/>
        <v>-</v>
      </c>
      <c r="BB26" s="43" t="str">
        <f t="shared" ca="1" si="5"/>
        <v>-</v>
      </c>
      <c r="BC26" s="43" t="str">
        <f t="shared" ca="1" si="5"/>
        <v>-</v>
      </c>
      <c r="BD26" s="43" t="str">
        <f t="shared" ca="1" si="5"/>
        <v>-</v>
      </c>
      <c r="BE26" s="43" t="str">
        <f t="shared" ref="BE26:CJ26" ca="1" si="6">IF(INDIRECT("'parameters recipe'!G"&amp;BE28)&lt;&gt;0,INDIRECT("'parameters recipe'!G"&amp;BE28),"")</f>
        <v>-</v>
      </c>
      <c r="BF26" s="43" t="str">
        <f t="shared" ca="1" si="6"/>
        <v>-</v>
      </c>
      <c r="BG26" s="43" t="str">
        <f t="shared" ca="1" si="6"/>
        <v>-</v>
      </c>
      <c r="BH26" s="43" t="str">
        <f t="shared" ca="1" si="6"/>
        <v>-</v>
      </c>
      <c r="BI26" s="43" t="str">
        <f t="shared" ca="1" si="6"/>
        <v>-</v>
      </c>
      <c r="BJ26" s="43" t="str">
        <f t="shared" ca="1" si="6"/>
        <v>-</v>
      </c>
      <c r="BK26" s="43" t="str">
        <f t="shared" ca="1" si="6"/>
        <v>-</v>
      </c>
      <c r="BL26" s="43" t="str">
        <f t="shared" ca="1" si="6"/>
        <v>-</v>
      </c>
      <c r="BM26" s="43" t="str">
        <f t="shared" ca="1" si="6"/>
        <v>-</v>
      </c>
      <c r="BN26" s="43" t="str">
        <f t="shared" ca="1" si="6"/>
        <v>-</v>
      </c>
      <c r="BO26" s="43" t="str">
        <f t="shared" ca="1" si="6"/>
        <v>-</v>
      </c>
      <c r="BP26" s="43" t="str">
        <f t="shared" ca="1" si="6"/>
        <v>-</v>
      </c>
      <c r="BQ26" s="43" t="str">
        <f t="shared" ca="1" si="6"/>
        <v>-</v>
      </c>
      <c r="BR26" s="43" t="str">
        <f t="shared" ca="1" si="6"/>
        <v>-</v>
      </c>
      <c r="BS26" s="43" t="str">
        <f t="shared" ca="1" si="6"/>
        <v>-</v>
      </c>
      <c r="BT26" s="43" t="str">
        <f t="shared" ca="1" si="6"/>
        <v>-</v>
      </c>
      <c r="BU26" s="43" t="str">
        <f t="shared" ca="1" si="6"/>
        <v>-</v>
      </c>
      <c r="BV26" s="43" t="str">
        <f t="shared" ca="1" si="6"/>
        <v>-</v>
      </c>
      <c r="BW26" s="43" t="str">
        <f t="shared" ca="1" si="6"/>
        <v>-</v>
      </c>
      <c r="BX26" s="43" t="str">
        <f t="shared" ca="1" si="6"/>
        <v>-</v>
      </c>
      <c r="BY26" s="43" t="str">
        <f t="shared" ca="1" si="6"/>
        <v>-</v>
      </c>
      <c r="BZ26" s="43" t="str">
        <f t="shared" ca="1" si="6"/>
        <v>-</v>
      </c>
      <c r="CA26" s="43" t="str">
        <f t="shared" ca="1" si="6"/>
        <v>-</v>
      </c>
      <c r="CB26" s="43" t="str">
        <f t="shared" ca="1" si="6"/>
        <v>-</v>
      </c>
      <c r="CC26" s="43" t="str">
        <f t="shared" ca="1" si="6"/>
        <v>-</v>
      </c>
      <c r="CD26" s="43" t="str">
        <f t="shared" ca="1" si="6"/>
        <v>-</v>
      </c>
      <c r="CE26" s="43" t="str">
        <f t="shared" ca="1" si="6"/>
        <v>-</v>
      </c>
      <c r="CF26" s="43" t="str">
        <f t="shared" ca="1" si="6"/>
        <v>-</v>
      </c>
      <c r="CG26" s="43" t="str">
        <f t="shared" ca="1" si="6"/>
        <v>-</v>
      </c>
      <c r="CH26" s="43" t="str">
        <f t="shared" ca="1" si="6"/>
        <v>-</v>
      </c>
      <c r="CI26" s="43" t="str">
        <f t="shared" ca="1" si="6"/>
        <v>-</v>
      </c>
      <c r="CJ26" s="43" t="str">
        <f t="shared" ca="1" si="6"/>
        <v>-</v>
      </c>
    </row>
    <row r="27" spans="1:88" s="26" customFormat="1" ht="35.25">
      <c r="A27" s="28" t="s">
        <v>6</v>
      </c>
      <c r="B27" s="27">
        <f ca="1">IF(INDIRECT("'parameters recipe'!F"&amp;B28)&lt;&gt;0,INDIRECT("'parameters recipe'!F"&amp;B28),"")</f>
        <v>255</v>
      </c>
      <c r="C27" s="27" t="str">
        <f t="shared" ref="C27:BN27" ca="1" si="7">IF(INDIRECT("'parameters recipe'!F"&amp;C28)&lt;&gt;0,INDIRECT("'parameters recipe'!F"&amp;C28),"")</f>
        <v/>
      </c>
      <c r="D27" s="27">
        <f t="shared" ca="1" si="7"/>
        <v>255</v>
      </c>
      <c r="E27" s="27" t="str">
        <f t="shared" ca="1" si="7"/>
        <v/>
      </c>
      <c r="F27" s="27">
        <f t="shared" ca="1" si="7"/>
        <v>255</v>
      </c>
      <c r="G27" s="27" t="str">
        <f t="shared" ca="1" si="7"/>
        <v/>
      </c>
      <c r="H27" s="27">
        <f t="shared" ca="1" si="7"/>
        <v>255</v>
      </c>
      <c r="I27" s="27" t="str">
        <f t="shared" ca="1" si="7"/>
        <v/>
      </c>
      <c r="J27" s="27">
        <f t="shared" ca="1" si="7"/>
        <v>255</v>
      </c>
      <c r="K27" s="27" t="str">
        <f t="shared" ca="1" si="7"/>
        <v/>
      </c>
      <c r="L27" s="27">
        <f t="shared" ca="1" si="7"/>
        <v>255</v>
      </c>
      <c r="M27" s="27" t="str">
        <f t="shared" ca="1" si="7"/>
        <v/>
      </c>
      <c r="N27" s="27">
        <f t="shared" ca="1" si="7"/>
        <v>255</v>
      </c>
      <c r="O27" s="27" t="str">
        <f t="shared" ca="1" si="7"/>
        <v/>
      </c>
      <c r="P27" s="27">
        <f t="shared" ca="1" si="7"/>
        <v>255</v>
      </c>
      <c r="Q27" s="27">
        <f t="shared" ca="1" si="7"/>
        <v>255</v>
      </c>
      <c r="R27" s="27">
        <f t="shared" ca="1" si="7"/>
        <v>65535</v>
      </c>
      <c r="S27" s="27">
        <f t="shared" ca="1" si="7"/>
        <v>65535</v>
      </c>
      <c r="T27" s="27">
        <f t="shared" ca="1" si="7"/>
        <v>255</v>
      </c>
      <c r="U27" s="27" t="str">
        <f t="shared" ca="1" si="7"/>
        <v/>
      </c>
      <c r="V27" s="27" t="str">
        <f t="shared" ca="1" si="7"/>
        <v/>
      </c>
      <c r="W27" s="27" t="str">
        <f t="shared" ca="1" si="7"/>
        <v/>
      </c>
      <c r="X27" s="27" t="str">
        <f t="shared" ca="1" si="7"/>
        <v/>
      </c>
      <c r="Y27" s="27" t="str">
        <f t="shared" ca="1" si="7"/>
        <v/>
      </c>
      <c r="Z27" s="27" t="str">
        <f t="shared" ca="1" si="7"/>
        <v/>
      </c>
      <c r="AA27" s="27" t="str">
        <f t="shared" ca="1" si="7"/>
        <v/>
      </c>
      <c r="AB27" s="27" t="str">
        <f t="shared" ca="1" si="7"/>
        <v/>
      </c>
      <c r="AC27" s="27" t="str">
        <f t="shared" ca="1" si="7"/>
        <v/>
      </c>
      <c r="AD27" s="27">
        <f t="shared" ca="1" si="7"/>
        <v>255</v>
      </c>
      <c r="AE27" s="27" t="str">
        <f t="shared" ca="1" si="7"/>
        <v/>
      </c>
      <c r="AF27" s="27" t="str">
        <f t="shared" ca="1" si="7"/>
        <v/>
      </c>
      <c r="AG27" s="27" t="str">
        <f t="shared" ca="1" si="7"/>
        <v/>
      </c>
      <c r="AH27" s="27" t="str">
        <f t="shared" ca="1" si="7"/>
        <v/>
      </c>
      <c r="AI27" s="27" t="str">
        <f t="shared" ca="1" si="7"/>
        <v/>
      </c>
      <c r="AJ27" s="27">
        <f t="shared" ca="1" si="7"/>
        <v>65535</v>
      </c>
      <c r="AK27" s="27">
        <f t="shared" ca="1" si="7"/>
        <v>2</v>
      </c>
      <c r="AL27" s="27" t="str">
        <f t="shared" ca="1" si="7"/>
        <v/>
      </c>
      <c r="AM27" s="27" t="str">
        <f t="shared" ca="1" si="7"/>
        <v/>
      </c>
      <c r="AN27" s="27" t="str">
        <f t="shared" ca="1" si="7"/>
        <v/>
      </c>
      <c r="AO27" s="27">
        <f t="shared" ca="1" si="7"/>
        <v>2</v>
      </c>
      <c r="AP27" s="27" t="str">
        <f t="shared" ca="1" si="7"/>
        <v/>
      </c>
      <c r="AQ27" s="27" t="str">
        <f t="shared" ca="1" si="7"/>
        <v/>
      </c>
      <c r="AR27" s="27" t="str">
        <f t="shared" ca="1" si="7"/>
        <v/>
      </c>
      <c r="AS27" s="27">
        <f t="shared" ca="1" si="7"/>
        <v>65535</v>
      </c>
      <c r="AT27" s="27" t="str">
        <f t="shared" ca="1" si="7"/>
        <v/>
      </c>
      <c r="AU27" s="27" t="str">
        <f t="shared" ca="1" si="7"/>
        <v/>
      </c>
      <c r="AV27" s="27" t="str">
        <f t="shared" ca="1" si="7"/>
        <v/>
      </c>
      <c r="AW27" s="27" t="str">
        <f t="shared" ca="1" si="7"/>
        <v/>
      </c>
      <c r="AX27" s="27" t="str">
        <f t="shared" ca="1" si="7"/>
        <v/>
      </c>
      <c r="AY27" s="27" t="str">
        <f t="shared" ca="1" si="7"/>
        <v/>
      </c>
      <c r="AZ27" s="27" t="str">
        <f t="shared" ca="1" si="7"/>
        <v/>
      </c>
      <c r="BA27" s="27" t="str">
        <f t="shared" ca="1" si="7"/>
        <v/>
      </c>
      <c r="BB27" s="27" t="str">
        <f t="shared" ca="1" si="7"/>
        <v/>
      </c>
      <c r="BC27" s="27" t="str">
        <f t="shared" ca="1" si="7"/>
        <v/>
      </c>
      <c r="BD27" s="27" t="str">
        <f t="shared" ca="1" si="7"/>
        <v/>
      </c>
      <c r="BE27" s="27" t="str">
        <f t="shared" ca="1" si="7"/>
        <v/>
      </c>
      <c r="BF27" s="27" t="str">
        <f t="shared" ca="1" si="7"/>
        <v/>
      </c>
      <c r="BG27" s="27" t="str">
        <f t="shared" ca="1" si="7"/>
        <v/>
      </c>
      <c r="BH27" s="27" t="str">
        <f t="shared" ca="1" si="7"/>
        <v/>
      </c>
      <c r="BI27" s="27">
        <f t="shared" ca="1" si="7"/>
        <v>65535</v>
      </c>
      <c r="BJ27" s="27" t="str">
        <f t="shared" ca="1" si="7"/>
        <v/>
      </c>
      <c r="BK27" s="27" t="str">
        <f t="shared" ca="1" si="7"/>
        <v/>
      </c>
      <c r="BL27" s="27" t="str">
        <f t="shared" ca="1" si="7"/>
        <v/>
      </c>
      <c r="BM27" s="27" t="str">
        <f t="shared" ca="1" si="7"/>
        <v/>
      </c>
      <c r="BN27" s="27" t="str">
        <f t="shared" ca="1" si="7"/>
        <v/>
      </c>
      <c r="BO27" s="27" t="str">
        <f t="shared" ref="BO27:CJ27" ca="1" si="8">IF(INDIRECT("'parameters recipe'!F"&amp;BO28)&lt;&gt;0,INDIRECT("'parameters recipe'!F"&amp;BO28),"")</f>
        <v/>
      </c>
      <c r="BP27" s="27" t="str">
        <f t="shared" ca="1" si="8"/>
        <v/>
      </c>
      <c r="BQ27" s="27" t="str">
        <f t="shared" ca="1" si="8"/>
        <v/>
      </c>
      <c r="BR27" s="27" t="str">
        <f t="shared" ca="1" si="8"/>
        <v/>
      </c>
      <c r="BS27" s="27" t="str">
        <f t="shared" ca="1" si="8"/>
        <v/>
      </c>
      <c r="BT27" s="27" t="str">
        <f t="shared" ca="1" si="8"/>
        <v/>
      </c>
      <c r="BU27" s="27" t="str">
        <f t="shared" ca="1" si="8"/>
        <v/>
      </c>
      <c r="BV27" s="27" t="str">
        <f t="shared" ca="1" si="8"/>
        <v/>
      </c>
      <c r="BW27" s="27" t="str">
        <f t="shared" ca="1" si="8"/>
        <v/>
      </c>
      <c r="BX27" s="27" t="str">
        <f t="shared" ca="1" si="8"/>
        <v/>
      </c>
      <c r="BY27" s="27">
        <f t="shared" ca="1" si="8"/>
        <v>65535</v>
      </c>
      <c r="BZ27" s="27" t="str">
        <f t="shared" ca="1" si="8"/>
        <v/>
      </c>
      <c r="CA27" s="27" t="str">
        <f t="shared" ca="1" si="8"/>
        <v/>
      </c>
      <c r="CB27" s="27" t="str">
        <f t="shared" ca="1" si="8"/>
        <v/>
      </c>
      <c r="CC27" s="27" t="str">
        <f t="shared" ca="1" si="8"/>
        <v/>
      </c>
      <c r="CD27" s="27" t="str">
        <f t="shared" ca="1" si="8"/>
        <v/>
      </c>
      <c r="CE27" s="27" t="str">
        <f t="shared" ca="1" si="8"/>
        <v/>
      </c>
      <c r="CF27" s="27" t="str">
        <f t="shared" ca="1" si="8"/>
        <v/>
      </c>
      <c r="CG27" s="27" t="str">
        <f t="shared" ca="1" si="8"/>
        <v/>
      </c>
      <c r="CH27" s="27" t="str">
        <f t="shared" ca="1" si="8"/>
        <v/>
      </c>
      <c r="CI27" s="27" t="str">
        <f t="shared" ca="1" si="8"/>
        <v/>
      </c>
      <c r="CJ27" s="27" t="str">
        <f t="shared" ca="1" si="8"/>
        <v/>
      </c>
    </row>
    <row r="28" spans="1:88" s="29" customFormat="1" hidden="1">
      <c r="A28" s="30" t="s">
        <v>50</v>
      </c>
      <c r="B28" s="31">
        <v>5</v>
      </c>
      <c r="C28" s="31">
        <f>B28+1</f>
        <v>6</v>
      </c>
      <c r="D28" s="31">
        <f t="shared" ref="D28:BD28" si="9">C28+1</f>
        <v>7</v>
      </c>
      <c r="E28" s="31">
        <f t="shared" si="9"/>
        <v>8</v>
      </c>
      <c r="F28" s="31">
        <f t="shared" si="9"/>
        <v>9</v>
      </c>
      <c r="G28" s="31">
        <f t="shared" si="9"/>
        <v>10</v>
      </c>
      <c r="H28" s="31">
        <f t="shared" si="9"/>
        <v>11</v>
      </c>
      <c r="I28" s="31">
        <f t="shared" si="9"/>
        <v>12</v>
      </c>
      <c r="J28" s="31">
        <f t="shared" si="9"/>
        <v>13</v>
      </c>
      <c r="K28" s="31">
        <f t="shared" si="9"/>
        <v>14</v>
      </c>
      <c r="L28" s="31">
        <f t="shared" si="9"/>
        <v>15</v>
      </c>
      <c r="M28" s="31">
        <f t="shared" si="9"/>
        <v>16</v>
      </c>
      <c r="N28" s="31">
        <f t="shared" si="9"/>
        <v>17</v>
      </c>
      <c r="O28" s="31">
        <f t="shared" si="9"/>
        <v>18</v>
      </c>
      <c r="P28" s="31">
        <f t="shared" si="9"/>
        <v>19</v>
      </c>
      <c r="Q28" s="31">
        <f t="shared" si="9"/>
        <v>20</v>
      </c>
      <c r="R28" s="31">
        <f t="shared" si="9"/>
        <v>21</v>
      </c>
      <c r="S28" s="31">
        <f t="shared" si="9"/>
        <v>22</v>
      </c>
      <c r="T28" s="31">
        <f t="shared" si="9"/>
        <v>23</v>
      </c>
      <c r="U28" s="31">
        <f t="shared" si="9"/>
        <v>24</v>
      </c>
      <c r="V28" s="31">
        <f t="shared" si="9"/>
        <v>25</v>
      </c>
      <c r="W28" s="31">
        <f t="shared" si="9"/>
        <v>26</v>
      </c>
      <c r="X28" s="31">
        <f t="shared" si="9"/>
        <v>27</v>
      </c>
      <c r="Y28" s="31">
        <f t="shared" si="9"/>
        <v>28</v>
      </c>
      <c r="Z28" s="31">
        <f t="shared" si="9"/>
        <v>29</v>
      </c>
      <c r="AA28" s="31">
        <f t="shared" si="9"/>
        <v>30</v>
      </c>
      <c r="AB28" s="31">
        <f t="shared" si="9"/>
        <v>31</v>
      </c>
      <c r="AC28" s="31">
        <f t="shared" si="9"/>
        <v>32</v>
      </c>
      <c r="AD28" s="31">
        <f t="shared" si="9"/>
        <v>33</v>
      </c>
      <c r="AE28" s="31">
        <f t="shared" si="9"/>
        <v>34</v>
      </c>
      <c r="AF28" s="31">
        <f t="shared" si="9"/>
        <v>35</v>
      </c>
      <c r="AG28" s="31">
        <f t="shared" si="9"/>
        <v>36</v>
      </c>
      <c r="AH28" s="31">
        <f t="shared" si="9"/>
        <v>37</v>
      </c>
      <c r="AI28" s="31">
        <f t="shared" si="9"/>
        <v>38</v>
      </c>
      <c r="AJ28" s="31">
        <f t="shared" si="9"/>
        <v>39</v>
      </c>
      <c r="AK28" s="31">
        <f t="shared" si="9"/>
        <v>40</v>
      </c>
      <c r="AL28" s="31">
        <f t="shared" si="9"/>
        <v>41</v>
      </c>
      <c r="AM28" s="31">
        <f t="shared" si="9"/>
        <v>42</v>
      </c>
      <c r="AN28" s="31">
        <f t="shared" si="9"/>
        <v>43</v>
      </c>
      <c r="AO28" s="31">
        <f t="shared" si="9"/>
        <v>44</v>
      </c>
      <c r="AP28" s="31">
        <f t="shared" si="9"/>
        <v>45</v>
      </c>
      <c r="AQ28" s="31">
        <f t="shared" si="9"/>
        <v>46</v>
      </c>
      <c r="AR28" s="31">
        <f t="shared" si="9"/>
        <v>47</v>
      </c>
      <c r="AS28" s="31">
        <f t="shared" si="9"/>
        <v>48</v>
      </c>
      <c r="AT28" s="31">
        <f t="shared" si="9"/>
        <v>49</v>
      </c>
      <c r="AU28" s="31">
        <f t="shared" si="9"/>
        <v>50</v>
      </c>
      <c r="AV28" s="31">
        <f t="shared" si="9"/>
        <v>51</v>
      </c>
      <c r="AW28" s="31">
        <f t="shared" si="9"/>
        <v>52</v>
      </c>
      <c r="AX28" s="31">
        <f t="shared" si="9"/>
        <v>53</v>
      </c>
      <c r="AY28" s="31">
        <f t="shared" si="9"/>
        <v>54</v>
      </c>
      <c r="AZ28" s="31">
        <f t="shared" si="9"/>
        <v>55</v>
      </c>
      <c r="BA28" s="31">
        <f t="shared" si="9"/>
        <v>56</v>
      </c>
      <c r="BB28" s="31">
        <f t="shared" si="9"/>
        <v>57</v>
      </c>
      <c r="BC28" s="31">
        <f t="shared" si="9"/>
        <v>58</v>
      </c>
      <c r="BD28" s="31">
        <f t="shared" si="9"/>
        <v>59</v>
      </c>
      <c r="BE28" s="31">
        <f t="shared" ref="BE28" si="10">BD28+1</f>
        <v>60</v>
      </c>
      <c r="BF28" s="31">
        <f t="shared" ref="BF28" si="11">BE28+1</f>
        <v>61</v>
      </c>
      <c r="BG28" s="31">
        <f t="shared" ref="BG28" si="12">BF28+1</f>
        <v>62</v>
      </c>
      <c r="BH28" s="31">
        <f t="shared" ref="BH28" si="13">BG28+1</f>
        <v>63</v>
      </c>
      <c r="BI28" s="31">
        <f t="shared" ref="BI28" si="14">BH28+1</f>
        <v>64</v>
      </c>
      <c r="BJ28" s="31">
        <f t="shared" ref="BJ28" si="15">BI28+1</f>
        <v>65</v>
      </c>
      <c r="BK28" s="31">
        <f t="shared" ref="BK28" si="16">BJ28+1</f>
        <v>66</v>
      </c>
      <c r="BL28" s="31">
        <f t="shared" ref="BL28" si="17">BK28+1</f>
        <v>67</v>
      </c>
      <c r="BM28" s="31">
        <f t="shared" ref="BM28" si="18">BL28+1</f>
        <v>68</v>
      </c>
      <c r="BN28" s="31">
        <f t="shared" ref="BN28" si="19">BM28+1</f>
        <v>69</v>
      </c>
      <c r="BO28" s="31">
        <f t="shared" ref="BO28" si="20">BN28+1</f>
        <v>70</v>
      </c>
      <c r="BP28" s="31">
        <f t="shared" ref="BP28" si="21">BO28+1</f>
        <v>71</v>
      </c>
      <c r="BQ28" s="31">
        <f t="shared" ref="BQ28" si="22">BP28+1</f>
        <v>72</v>
      </c>
      <c r="BR28" s="31">
        <f t="shared" ref="BR28" si="23">BQ28+1</f>
        <v>73</v>
      </c>
      <c r="BS28" s="31">
        <f t="shared" ref="BS28" si="24">BR28+1</f>
        <v>74</v>
      </c>
      <c r="BT28" s="31">
        <f t="shared" ref="BT28" si="25">BS28+1</f>
        <v>75</v>
      </c>
      <c r="BU28" s="31">
        <f t="shared" ref="BU28" si="26">BT28+1</f>
        <v>76</v>
      </c>
      <c r="BV28" s="31">
        <f t="shared" ref="BV28" si="27">BU28+1</f>
        <v>77</v>
      </c>
      <c r="BW28" s="31">
        <f t="shared" ref="BW28" si="28">BV28+1</f>
        <v>78</v>
      </c>
      <c r="BX28" s="31">
        <f t="shared" ref="BX28" si="29">BW28+1</f>
        <v>79</v>
      </c>
      <c r="BY28" s="31">
        <f t="shared" ref="BY28" si="30">BX28+1</f>
        <v>80</v>
      </c>
      <c r="BZ28" s="31">
        <f t="shared" ref="BZ28" si="31">BY28+1</f>
        <v>81</v>
      </c>
      <c r="CA28" s="31">
        <f t="shared" ref="CA28" si="32">BZ28+1</f>
        <v>82</v>
      </c>
      <c r="CB28" s="31">
        <f t="shared" ref="CB28" si="33">CA28+1</f>
        <v>83</v>
      </c>
      <c r="CC28" s="31">
        <f t="shared" ref="CC28" si="34">CB28+1</f>
        <v>84</v>
      </c>
      <c r="CD28" s="31">
        <f t="shared" ref="CD28" si="35">CC28+1</f>
        <v>85</v>
      </c>
      <c r="CE28" s="31">
        <f t="shared" ref="CE28" si="36">CD28+1</f>
        <v>86</v>
      </c>
      <c r="CF28" s="31">
        <f t="shared" ref="CF28" si="37">CE28+1</f>
        <v>87</v>
      </c>
      <c r="CG28" s="31">
        <f t="shared" ref="CG28" si="38">CF28+1</f>
        <v>88</v>
      </c>
      <c r="CH28" s="31">
        <f t="shared" ref="CH28" si="39">CG28+1</f>
        <v>89</v>
      </c>
      <c r="CI28" s="31">
        <f t="shared" ref="CI28" si="40">CH28+1</f>
        <v>90</v>
      </c>
      <c r="CJ28" s="31">
        <f t="shared" ref="CJ28" si="41">CI28+1</f>
        <v>91</v>
      </c>
    </row>
    <row r="29" spans="1:88">
      <c r="A29" s="135" t="s">
        <v>21</v>
      </c>
      <c r="B29" s="32">
        <v>0</v>
      </c>
      <c r="C29" s="32">
        <v>0</v>
      </c>
      <c r="D29" s="32">
        <v>0</v>
      </c>
      <c r="E29" s="32">
        <v>0</v>
      </c>
      <c r="F29" s="32">
        <v>0</v>
      </c>
      <c r="G29" s="32">
        <v>0</v>
      </c>
      <c r="H29" s="32">
        <v>0</v>
      </c>
      <c r="I29" s="32">
        <v>0</v>
      </c>
      <c r="J29" s="32">
        <v>0</v>
      </c>
      <c r="K29" s="32">
        <v>0</v>
      </c>
      <c r="L29" s="32">
        <v>0</v>
      </c>
      <c r="M29" s="32">
        <v>0</v>
      </c>
      <c r="N29" s="32">
        <v>0</v>
      </c>
      <c r="O29" s="32">
        <v>0</v>
      </c>
      <c r="P29" s="32">
        <v>0</v>
      </c>
      <c r="Q29" s="32">
        <v>0</v>
      </c>
      <c r="R29" s="32">
        <v>0</v>
      </c>
      <c r="S29" s="32">
        <v>0</v>
      </c>
      <c r="T29" s="32">
        <v>0</v>
      </c>
      <c r="U29" s="32">
        <v>0</v>
      </c>
      <c r="V29" s="32">
        <v>0</v>
      </c>
      <c r="W29" s="32">
        <v>0</v>
      </c>
      <c r="X29" s="32">
        <v>0</v>
      </c>
      <c r="Y29" s="32">
        <v>0</v>
      </c>
      <c r="Z29" s="32">
        <v>0</v>
      </c>
      <c r="AA29" s="32">
        <v>0</v>
      </c>
      <c r="AB29" s="32">
        <v>0</v>
      </c>
      <c r="AC29" s="32">
        <v>0</v>
      </c>
      <c r="AD29" s="32">
        <v>0</v>
      </c>
      <c r="AE29" s="32">
        <v>0</v>
      </c>
      <c r="AF29" s="32">
        <v>0</v>
      </c>
      <c r="AG29" s="32">
        <v>0</v>
      </c>
      <c r="AH29" s="32">
        <v>0</v>
      </c>
      <c r="AI29" s="32">
        <v>0</v>
      </c>
      <c r="AJ29" s="32">
        <v>0</v>
      </c>
      <c r="AK29" s="32">
        <v>0</v>
      </c>
      <c r="AL29" s="32">
        <v>0</v>
      </c>
      <c r="AM29" s="32">
        <v>0</v>
      </c>
      <c r="AN29" s="32">
        <v>0</v>
      </c>
      <c r="AO29" s="32">
        <v>0</v>
      </c>
      <c r="AP29" s="32">
        <v>0</v>
      </c>
      <c r="AQ29" s="32">
        <v>0</v>
      </c>
      <c r="AR29" s="32">
        <v>0</v>
      </c>
      <c r="AS29" s="32">
        <v>0</v>
      </c>
      <c r="AT29" s="32">
        <v>0</v>
      </c>
      <c r="AU29" s="32">
        <v>0</v>
      </c>
      <c r="AV29" s="32">
        <v>0</v>
      </c>
      <c r="AW29" s="32">
        <v>0</v>
      </c>
      <c r="AX29" s="32">
        <v>0</v>
      </c>
      <c r="AY29" s="32">
        <v>0</v>
      </c>
      <c r="AZ29" s="32">
        <v>0</v>
      </c>
      <c r="BA29" s="32">
        <v>0</v>
      </c>
      <c r="BB29" s="32">
        <v>0</v>
      </c>
      <c r="BC29" s="32">
        <v>0</v>
      </c>
      <c r="BD29" s="32">
        <v>0</v>
      </c>
      <c r="BE29" s="32">
        <v>0</v>
      </c>
      <c r="BF29" s="32">
        <v>0</v>
      </c>
      <c r="BG29" s="32">
        <v>0</v>
      </c>
      <c r="BH29" s="32">
        <v>0</v>
      </c>
      <c r="BI29" s="32">
        <v>0</v>
      </c>
      <c r="BJ29" s="32">
        <v>0</v>
      </c>
      <c r="BK29" s="32">
        <v>0</v>
      </c>
      <c r="BL29" s="32">
        <v>0</v>
      </c>
      <c r="BM29" s="32">
        <v>0</v>
      </c>
      <c r="BN29" s="32">
        <v>0</v>
      </c>
      <c r="BO29" s="32">
        <v>0</v>
      </c>
      <c r="BP29" s="32">
        <v>0</v>
      </c>
      <c r="BQ29" s="32">
        <v>0</v>
      </c>
      <c r="BR29" s="32">
        <v>0</v>
      </c>
      <c r="BS29" s="32">
        <v>0</v>
      </c>
      <c r="BT29" s="32">
        <v>0</v>
      </c>
      <c r="BU29" s="32">
        <v>0</v>
      </c>
      <c r="BV29" s="32">
        <v>0</v>
      </c>
      <c r="BW29" s="32">
        <v>0</v>
      </c>
      <c r="BX29" s="32">
        <v>0</v>
      </c>
      <c r="BY29" s="32">
        <v>0</v>
      </c>
      <c r="BZ29" s="32">
        <v>0</v>
      </c>
      <c r="CA29" s="32">
        <v>0</v>
      </c>
      <c r="CB29" s="32">
        <v>0</v>
      </c>
      <c r="CC29" s="32">
        <v>0</v>
      </c>
      <c r="CD29" s="32">
        <v>0</v>
      </c>
      <c r="CE29" s="32">
        <v>0</v>
      </c>
      <c r="CF29" s="32">
        <v>0</v>
      </c>
      <c r="CG29" s="32">
        <v>0</v>
      </c>
      <c r="CH29" s="32">
        <v>0</v>
      </c>
      <c r="CI29" s="32">
        <v>0</v>
      </c>
      <c r="CJ29" s="32">
        <v>0</v>
      </c>
    </row>
    <row r="30" spans="1:88" hidden="1">
      <c r="A30" s="136"/>
      <c r="B30" s="39" t="str">
        <f ca="1">DEC2HEX(B29,INDIRECT("'parameters recipe'!$C"&amp;B$28))</f>
        <v>0</v>
      </c>
      <c r="C30" s="39" t="e">
        <f t="shared" ref="C30:L30" ca="1" si="42">DEC2HEX(C29,INDIRECT("'parameters recipe'!$C"&amp;C$28))</f>
        <v>#NUM!</v>
      </c>
      <c r="D30" s="39" t="str">
        <f t="shared" ca="1" si="42"/>
        <v>0</v>
      </c>
      <c r="E30" s="39" t="e">
        <f t="shared" ca="1" si="42"/>
        <v>#NUM!</v>
      </c>
      <c r="F30" s="39" t="str">
        <f t="shared" ca="1" si="42"/>
        <v>0</v>
      </c>
      <c r="G30" s="39" t="e">
        <f t="shared" ca="1" si="42"/>
        <v>#NUM!</v>
      </c>
      <c r="H30" s="39" t="str">
        <f t="shared" ca="1" si="42"/>
        <v>0</v>
      </c>
      <c r="I30" s="39" t="e">
        <f t="shared" ca="1" si="42"/>
        <v>#NUM!</v>
      </c>
      <c r="J30" s="39" t="str">
        <f t="shared" ca="1" si="42"/>
        <v>0</v>
      </c>
      <c r="K30" s="39" t="e">
        <f t="shared" ca="1" si="42"/>
        <v>#NUM!</v>
      </c>
      <c r="L30" s="39" t="str">
        <f t="shared" ca="1" si="42"/>
        <v>0</v>
      </c>
      <c r="M30" s="123" t="str">
        <f>BIN2HEX(CONCATENATE(M29,N29,O29,P29,Q29,R29,S29,T29),2)</f>
        <v>00</v>
      </c>
      <c r="N30" s="124"/>
      <c r="O30" s="124"/>
      <c r="P30" s="124"/>
      <c r="Q30" s="124"/>
      <c r="R30" s="124"/>
      <c r="S30" s="124"/>
      <c r="T30" s="125"/>
      <c r="U30" s="39" t="e">
        <f t="shared" ref="U30:X30" ca="1" si="43">DEC2HEX(U29,INDIRECT("'parameters recipe'!$C"&amp;U$28))</f>
        <v>#NUM!</v>
      </c>
      <c r="V30" s="39" t="e">
        <f t="shared" ca="1" si="43"/>
        <v>#NUM!</v>
      </c>
      <c r="W30" s="39" t="e">
        <f t="shared" ca="1" si="43"/>
        <v>#NUM!</v>
      </c>
      <c r="X30" s="39" t="e">
        <f t="shared" ca="1" si="43"/>
        <v>#NUM!</v>
      </c>
      <c r="Y30" s="123" t="str">
        <f>BIN2HEX(CONCATENATE(Y29,Z29,AA29,AB29,AC29,AD29,AE29,AF29),2)</f>
        <v>00</v>
      </c>
      <c r="Z30" s="124"/>
      <c r="AA30" s="124"/>
      <c r="AB30" s="124"/>
      <c r="AC30" s="124"/>
      <c r="AD30" s="124"/>
      <c r="AE30" s="124"/>
      <c r="AF30" s="125"/>
      <c r="AG30" s="123" t="str">
        <f>BIN2HEX(CONCATENATE(AG29,AH29,AI29,AJ29,AK29,AL29,AM29,AN29),2)</f>
        <v>00</v>
      </c>
      <c r="AH30" s="124"/>
      <c r="AI30" s="124"/>
      <c r="AJ30" s="124"/>
      <c r="AK30" s="124"/>
      <c r="AL30" s="124"/>
      <c r="AM30" s="124"/>
      <c r="AN30" s="125"/>
      <c r="AO30" s="123" t="str">
        <f>BIN2HEX(CONCATENATE(AO29,AP29,AQ29,AR29,AS29,AT29,AU29,AV29),2)</f>
        <v>00</v>
      </c>
      <c r="AP30" s="124"/>
      <c r="AQ30" s="124"/>
      <c r="AR30" s="124"/>
      <c r="AS30" s="124"/>
      <c r="AT30" s="124"/>
      <c r="AU30" s="124"/>
      <c r="AV30" s="125"/>
      <c r="AW30" s="123" t="str">
        <f>BIN2HEX(CONCATENATE(AW29,AX29,AY29,AZ29,BA29,BB29,BC29,BD29),2)</f>
        <v>00</v>
      </c>
      <c r="AX30" s="124"/>
      <c r="AY30" s="124"/>
      <c r="AZ30" s="124"/>
      <c r="BA30" s="124"/>
      <c r="BB30" s="124"/>
      <c r="BC30" s="124"/>
      <c r="BD30" s="125"/>
      <c r="BE30" s="123" t="str">
        <f>BIN2HEX(CONCATENATE(BE29,BF29,BG29,BH29,BI29,BJ29,BK29,BL29),2)</f>
        <v>00</v>
      </c>
      <c r="BF30" s="124"/>
      <c r="BG30" s="124"/>
      <c r="BH30" s="124"/>
      <c r="BI30" s="124"/>
      <c r="BJ30" s="124"/>
      <c r="BK30" s="124"/>
      <c r="BL30" s="125"/>
      <c r="BM30" s="123" t="str">
        <f>BIN2HEX(CONCATENATE(BM29,BN29,BO29,BP29,BQ29,BR29,BS29,BT29),2)</f>
        <v>00</v>
      </c>
      <c r="BN30" s="124"/>
      <c r="BO30" s="124"/>
      <c r="BP30" s="124"/>
      <c r="BQ30" s="124"/>
      <c r="BR30" s="124"/>
      <c r="BS30" s="124"/>
      <c r="BT30" s="125"/>
      <c r="BU30" s="123" t="str">
        <f>BIN2HEX(CONCATENATE(BU29,BV29,BW29,BX29,BY29,BZ29,CA29,CB29),2)</f>
        <v>00</v>
      </c>
      <c r="BV30" s="124"/>
      <c r="BW30" s="124"/>
      <c r="BX30" s="124"/>
      <c r="BY30" s="124"/>
      <c r="BZ30" s="124"/>
      <c r="CA30" s="124"/>
      <c r="CB30" s="125"/>
      <c r="CC30" s="123" t="str">
        <f>BIN2HEX(CONCATENATE(CC29,CD29,CE29,CF29,CG29,CH29,CI29,CJ29),2)</f>
        <v>00</v>
      </c>
      <c r="CD30" s="124"/>
      <c r="CE30" s="124"/>
      <c r="CF30" s="124"/>
      <c r="CG30" s="124"/>
      <c r="CH30" s="124"/>
      <c r="CI30" s="124"/>
      <c r="CJ30" s="125"/>
    </row>
    <row r="31" spans="1:88">
      <c r="A31" s="135" t="s">
        <v>11</v>
      </c>
      <c r="B31" s="32">
        <v>0</v>
      </c>
      <c r="C31" s="32">
        <v>0</v>
      </c>
      <c r="D31" s="32">
        <v>0</v>
      </c>
      <c r="E31" s="32">
        <v>0</v>
      </c>
      <c r="F31" s="32">
        <v>0</v>
      </c>
      <c r="G31" s="32">
        <v>0</v>
      </c>
      <c r="H31" s="32">
        <v>0</v>
      </c>
      <c r="I31" s="32">
        <v>0</v>
      </c>
      <c r="J31" s="32">
        <v>0</v>
      </c>
      <c r="K31" s="32">
        <v>0</v>
      </c>
      <c r="L31" s="32">
        <v>0</v>
      </c>
      <c r="M31" s="32">
        <v>0</v>
      </c>
      <c r="N31" s="32">
        <v>0</v>
      </c>
      <c r="O31" s="32">
        <v>0</v>
      </c>
      <c r="P31" s="32">
        <v>0</v>
      </c>
      <c r="Q31" s="32">
        <v>0</v>
      </c>
      <c r="R31" s="32">
        <v>0</v>
      </c>
      <c r="S31" s="32">
        <v>0</v>
      </c>
      <c r="T31" s="32">
        <v>0</v>
      </c>
      <c r="U31" s="32">
        <v>0</v>
      </c>
      <c r="V31" s="32">
        <v>0</v>
      </c>
      <c r="W31" s="32">
        <v>0</v>
      </c>
      <c r="X31" s="32">
        <v>0</v>
      </c>
      <c r="Y31" s="32">
        <v>0</v>
      </c>
      <c r="Z31" s="32">
        <v>0</v>
      </c>
      <c r="AA31" s="32">
        <v>0</v>
      </c>
      <c r="AB31" s="32">
        <v>0</v>
      </c>
      <c r="AC31" s="32">
        <v>0</v>
      </c>
      <c r="AD31" s="32">
        <v>0</v>
      </c>
      <c r="AE31" s="32">
        <v>0</v>
      </c>
      <c r="AF31" s="32">
        <v>0</v>
      </c>
      <c r="AG31" s="32">
        <v>0</v>
      </c>
      <c r="AH31" s="32">
        <v>0</v>
      </c>
      <c r="AI31" s="32">
        <v>0</v>
      </c>
      <c r="AJ31" s="32">
        <v>0</v>
      </c>
      <c r="AK31" s="32">
        <v>0</v>
      </c>
      <c r="AL31" s="32">
        <v>0</v>
      </c>
      <c r="AM31" s="32">
        <v>0</v>
      </c>
      <c r="AN31" s="32">
        <v>0</v>
      </c>
      <c r="AO31" s="32">
        <v>0</v>
      </c>
      <c r="AP31" s="32">
        <v>0</v>
      </c>
      <c r="AQ31" s="32">
        <v>0</v>
      </c>
      <c r="AR31" s="32">
        <v>0</v>
      </c>
      <c r="AS31" s="32">
        <v>0</v>
      </c>
      <c r="AT31" s="32">
        <v>0</v>
      </c>
      <c r="AU31" s="32">
        <v>0</v>
      </c>
      <c r="AV31" s="32">
        <v>0</v>
      </c>
      <c r="AW31" s="32">
        <v>0</v>
      </c>
      <c r="AX31" s="32">
        <v>0</v>
      </c>
      <c r="AY31" s="32">
        <v>0</v>
      </c>
      <c r="AZ31" s="32">
        <v>0</v>
      </c>
      <c r="BA31" s="32">
        <v>0</v>
      </c>
      <c r="BB31" s="32">
        <v>0</v>
      </c>
      <c r="BC31" s="32">
        <v>0</v>
      </c>
      <c r="BD31" s="32">
        <v>0</v>
      </c>
      <c r="BE31" s="32">
        <v>0</v>
      </c>
      <c r="BF31" s="32">
        <v>0</v>
      </c>
      <c r="BG31" s="32">
        <v>0</v>
      </c>
      <c r="BH31" s="32">
        <v>0</v>
      </c>
      <c r="BI31" s="32">
        <v>0</v>
      </c>
      <c r="BJ31" s="32">
        <v>0</v>
      </c>
      <c r="BK31" s="32">
        <v>0</v>
      </c>
      <c r="BL31" s="32">
        <v>0</v>
      </c>
      <c r="BM31" s="32">
        <v>0</v>
      </c>
      <c r="BN31" s="32">
        <v>0</v>
      </c>
      <c r="BO31" s="32">
        <v>0</v>
      </c>
      <c r="BP31" s="32">
        <v>0</v>
      </c>
      <c r="BQ31" s="32">
        <v>0</v>
      </c>
      <c r="BR31" s="32">
        <v>0</v>
      </c>
      <c r="BS31" s="32">
        <v>0</v>
      </c>
      <c r="BT31" s="32">
        <v>0</v>
      </c>
      <c r="BU31" s="32">
        <v>0</v>
      </c>
      <c r="BV31" s="32">
        <v>0</v>
      </c>
      <c r="BW31" s="32">
        <v>0</v>
      </c>
      <c r="BX31" s="32">
        <v>0</v>
      </c>
      <c r="BY31" s="32">
        <v>0</v>
      </c>
      <c r="BZ31" s="32">
        <v>0</v>
      </c>
      <c r="CA31" s="32">
        <v>0</v>
      </c>
      <c r="CB31" s="32">
        <v>0</v>
      </c>
      <c r="CC31" s="32">
        <v>0</v>
      </c>
      <c r="CD31" s="32">
        <v>0</v>
      </c>
      <c r="CE31" s="32">
        <v>0</v>
      </c>
      <c r="CF31" s="32">
        <v>0</v>
      </c>
      <c r="CG31" s="32">
        <v>0</v>
      </c>
      <c r="CH31" s="32">
        <v>0</v>
      </c>
      <c r="CI31" s="32">
        <v>0</v>
      </c>
      <c r="CJ31" s="32">
        <v>0</v>
      </c>
    </row>
    <row r="32" spans="1:88" hidden="1">
      <c r="A32" s="136"/>
      <c r="B32" s="39" t="str">
        <f ca="1">DEC2HEX(B31,INDIRECT("'parameters recipe'!$C"&amp;B$28))</f>
        <v>0</v>
      </c>
      <c r="C32" s="39" t="e">
        <f t="shared" ref="C32:L32" ca="1" si="44">DEC2HEX(C31,INDIRECT("'parameters recipe'!$C"&amp;C$28))</f>
        <v>#NUM!</v>
      </c>
      <c r="D32" s="39" t="str">
        <f t="shared" ca="1" si="44"/>
        <v>0</v>
      </c>
      <c r="E32" s="39" t="e">
        <f t="shared" ca="1" si="44"/>
        <v>#NUM!</v>
      </c>
      <c r="F32" s="39" t="str">
        <f t="shared" ca="1" si="44"/>
        <v>0</v>
      </c>
      <c r="G32" s="39" t="e">
        <f t="shared" ca="1" si="44"/>
        <v>#NUM!</v>
      </c>
      <c r="H32" s="39" t="str">
        <f t="shared" ca="1" si="44"/>
        <v>0</v>
      </c>
      <c r="I32" s="39" t="e">
        <f t="shared" ca="1" si="44"/>
        <v>#NUM!</v>
      </c>
      <c r="J32" s="39" t="str">
        <f t="shared" ca="1" si="44"/>
        <v>0</v>
      </c>
      <c r="K32" s="39" t="e">
        <f t="shared" ca="1" si="44"/>
        <v>#NUM!</v>
      </c>
      <c r="L32" s="39" t="str">
        <f t="shared" ca="1" si="44"/>
        <v>0</v>
      </c>
      <c r="M32" s="123" t="str">
        <f>BIN2HEX(CONCATENATE(M31,N31,O31,P31,Q31,R31,S31,T31),2)</f>
        <v>00</v>
      </c>
      <c r="N32" s="124"/>
      <c r="O32" s="124"/>
      <c r="P32" s="124"/>
      <c r="Q32" s="124"/>
      <c r="R32" s="124"/>
      <c r="S32" s="124"/>
      <c r="T32" s="125"/>
      <c r="U32" s="39" t="e">
        <f t="shared" ref="U32:X32" ca="1" si="45">DEC2HEX(U31,INDIRECT("'parameters recipe'!$C"&amp;U$28))</f>
        <v>#NUM!</v>
      </c>
      <c r="V32" s="39" t="e">
        <f t="shared" ca="1" si="45"/>
        <v>#NUM!</v>
      </c>
      <c r="W32" s="39" t="e">
        <f t="shared" ca="1" si="45"/>
        <v>#NUM!</v>
      </c>
      <c r="X32" s="39" t="e">
        <f t="shared" ca="1" si="45"/>
        <v>#NUM!</v>
      </c>
      <c r="Y32" s="123" t="str">
        <f>BIN2HEX(CONCATENATE(Y31,Z31,AA31,AB31,AC31,AD31,AE31,AF31),2)</f>
        <v>00</v>
      </c>
      <c r="Z32" s="124"/>
      <c r="AA32" s="124"/>
      <c r="AB32" s="124"/>
      <c r="AC32" s="124"/>
      <c r="AD32" s="124"/>
      <c r="AE32" s="124"/>
      <c r="AF32" s="125"/>
      <c r="AG32" s="123" t="str">
        <f>BIN2HEX(CONCATENATE(AG31,AH31,AI31,AJ31,AK31,AL31,AM31,AN31),2)</f>
        <v>00</v>
      </c>
      <c r="AH32" s="124"/>
      <c r="AI32" s="124"/>
      <c r="AJ32" s="124"/>
      <c r="AK32" s="124"/>
      <c r="AL32" s="124"/>
      <c r="AM32" s="124"/>
      <c r="AN32" s="125"/>
      <c r="AO32" s="123" t="str">
        <f>BIN2HEX(CONCATENATE(AO31,AP31,AQ31,AR31,AS31,AT31,AU31,AV31),2)</f>
        <v>00</v>
      </c>
      <c r="AP32" s="124"/>
      <c r="AQ32" s="124"/>
      <c r="AR32" s="124"/>
      <c r="AS32" s="124"/>
      <c r="AT32" s="124"/>
      <c r="AU32" s="124"/>
      <c r="AV32" s="125"/>
      <c r="AW32" s="123" t="str">
        <f>BIN2HEX(CONCATENATE(AW31,AX31,AY31,AZ31,BA31,BB31,BC31,BD31),2)</f>
        <v>00</v>
      </c>
      <c r="AX32" s="124"/>
      <c r="AY32" s="124"/>
      <c r="AZ32" s="124"/>
      <c r="BA32" s="124"/>
      <c r="BB32" s="124"/>
      <c r="BC32" s="124"/>
      <c r="BD32" s="125"/>
      <c r="BE32" s="123" t="str">
        <f>BIN2HEX(CONCATENATE(BE31,BF31,BG31,BH31,BI31,BJ31,BK31,BL31),2)</f>
        <v>00</v>
      </c>
      <c r="BF32" s="124"/>
      <c r="BG32" s="124"/>
      <c r="BH32" s="124"/>
      <c r="BI32" s="124"/>
      <c r="BJ32" s="124"/>
      <c r="BK32" s="124"/>
      <c r="BL32" s="125"/>
      <c r="BM32" s="123" t="str">
        <f>BIN2HEX(CONCATENATE(BM31,BN31,BO31,BP31,BQ31,BR31,BS31,BT31),2)</f>
        <v>00</v>
      </c>
      <c r="BN32" s="124"/>
      <c r="BO32" s="124"/>
      <c r="BP32" s="124"/>
      <c r="BQ32" s="124"/>
      <c r="BR32" s="124"/>
      <c r="BS32" s="124"/>
      <c r="BT32" s="125"/>
      <c r="BU32" s="123" t="str">
        <f>BIN2HEX(CONCATENATE(BU31,BV31,BW31,BX31,BY31,BZ31,CA31,CB31),2)</f>
        <v>00</v>
      </c>
      <c r="BV32" s="124"/>
      <c r="BW32" s="124"/>
      <c r="BX32" s="124"/>
      <c r="BY32" s="124"/>
      <c r="BZ32" s="124"/>
      <c r="CA32" s="124"/>
      <c r="CB32" s="125"/>
      <c r="CC32" s="123" t="str">
        <f>BIN2HEX(CONCATENATE(CC31,CD31,CE31,CF31,CG31,CH31,CI31,CJ31),2)</f>
        <v>00</v>
      </c>
      <c r="CD32" s="124"/>
      <c r="CE32" s="124"/>
      <c r="CF32" s="124"/>
      <c r="CG32" s="124"/>
      <c r="CH32" s="124"/>
      <c r="CI32" s="124"/>
      <c r="CJ32" s="125"/>
    </row>
    <row r="33" spans="1:88">
      <c r="A33" s="135" t="s">
        <v>12</v>
      </c>
      <c r="B33" s="32">
        <v>0</v>
      </c>
      <c r="C33" s="32">
        <v>0</v>
      </c>
      <c r="D33" s="32">
        <v>0</v>
      </c>
      <c r="E33" s="32">
        <v>0</v>
      </c>
      <c r="F33" s="32">
        <v>0</v>
      </c>
      <c r="G33" s="32">
        <v>0</v>
      </c>
      <c r="H33" s="32">
        <v>0</v>
      </c>
      <c r="I33" s="32">
        <v>0</v>
      </c>
      <c r="J33" s="32">
        <v>0</v>
      </c>
      <c r="K33" s="32">
        <v>0</v>
      </c>
      <c r="L33" s="32">
        <v>0</v>
      </c>
      <c r="M33" s="32">
        <v>0</v>
      </c>
      <c r="N33" s="32">
        <v>0</v>
      </c>
      <c r="O33" s="32">
        <v>0</v>
      </c>
      <c r="P33" s="32">
        <v>0</v>
      </c>
      <c r="Q33" s="32">
        <v>0</v>
      </c>
      <c r="R33" s="32">
        <v>0</v>
      </c>
      <c r="S33" s="32">
        <v>0</v>
      </c>
      <c r="T33" s="32">
        <v>0</v>
      </c>
      <c r="U33" s="32">
        <v>0</v>
      </c>
      <c r="V33" s="32">
        <v>0</v>
      </c>
      <c r="W33" s="32">
        <v>0</v>
      </c>
      <c r="X33" s="32">
        <v>0</v>
      </c>
      <c r="Y33" s="32">
        <v>0</v>
      </c>
      <c r="Z33" s="32">
        <v>0</v>
      </c>
      <c r="AA33" s="32">
        <v>0</v>
      </c>
      <c r="AB33" s="32">
        <v>0</v>
      </c>
      <c r="AC33" s="32">
        <v>0</v>
      </c>
      <c r="AD33" s="32">
        <v>0</v>
      </c>
      <c r="AE33" s="32">
        <v>0</v>
      </c>
      <c r="AF33" s="32">
        <v>0</v>
      </c>
      <c r="AG33" s="32">
        <v>0</v>
      </c>
      <c r="AH33" s="32">
        <v>0</v>
      </c>
      <c r="AI33" s="32">
        <v>0</v>
      </c>
      <c r="AJ33" s="32">
        <v>0</v>
      </c>
      <c r="AK33" s="32">
        <v>0</v>
      </c>
      <c r="AL33" s="32">
        <v>0</v>
      </c>
      <c r="AM33" s="32">
        <v>0</v>
      </c>
      <c r="AN33" s="32">
        <v>0</v>
      </c>
      <c r="AO33" s="32">
        <v>0</v>
      </c>
      <c r="AP33" s="32">
        <v>0</v>
      </c>
      <c r="AQ33" s="32">
        <v>0</v>
      </c>
      <c r="AR33" s="32">
        <v>0</v>
      </c>
      <c r="AS33" s="32">
        <v>0</v>
      </c>
      <c r="AT33" s="32">
        <v>0</v>
      </c>
      <c r="AU33" s="32">
        <v>0</v>
      </c>
      <c r="AV33" s="32">
        <v>0</v>
      </c>
      <c r="AW33" s="32">
        <v>0</v>
      </c>
      <c r="AX33" s="32">
        <v>0</v>
      </c>
      <c r="AY33" s="32">
        <v>0</v>
      </c>
      <c r="AZ33" s="32">
        <v>0</v>
      </c>
      <c r="BA33" s="32">
        <v>0</v>
      </c>
      <c r="BB33" s="32">
        <v>0</v>
      </c>
      <c r="BC33" s="32">
        <v>0</v>
      </c>
      <c r="BD33" s="32">
        <v>0</v>
      </c>
      <c r="BE33" s="32">
        <v>0</v>
      </c>
      <c r="BF33" s="32">
        <v>0</v>
      </c>
      <c r="BG33" s="32">
        <v>0</v>
      </c>
      <c r="BH33" s="32">
        <v>0</v>
      </c>
      <c r="BI33" s="32">
        <v>0</v>
      </c>
      <c r="BJ33" s="32">
        <v>0</v>
      </c>
      <c r="BK33" s="32">
        <v>0</v>
      </c>
      <c r="BL33" s="32">
        <v>0</v>
      </c>
      <c r="BM33" s="32">
        <v>0</v>
      </c>
      <c r="BN33" s="32">
        <v>0</v>
      </c>
      <c r="BO33" s="32">
        <v>0</v>
      </c>
      <c r="BP33" s="32">
        <v>0</v>
      </c>
      <c r="BQ33" s="32">
        <v>0</v>
      </c>
      <c r="BR33" s="32">
        <v>0</v>
      </c>
      <c r="BS33" s="32">
        <v>0</v>
      </c>
      <c r="BT33" s="32">
        <v>0</v>
      </c>
      <c r="BU33" s="32">
        <v>0</v>
      </c>
      <c r="BV33" s="32">
        <v>0</v>
      </c>
      <c r="BW33" s="32">
        <v>0</v>
      </c>
      <c r="BX33" s="32">
        <v>0</v>
      </c>
      <c r="BY33" s="32">
        <v>0</v>
      </c>
      <c r="BZ33" s="32">
        <v>0</v>
      </c>
      <c r="CA33" s="32">
        <v>0</v>
      </c>
      <c r="CB33" s="32">
        <v>0</v>
      </c>
      <c r="CC33" s="32">
        <v>0</v>
      </c>
      <c r="CD33" s="32">
        <v>0</v>
      </c>
      <c r="CE33" s="32">
        <v>0</v>
      </c>
      <c r="CF33" s="32">
        <v>0</v>
      </c>
      <c r="CG33" s="32">
        <v>0</v>
      </c>
      <c r="CH33" s="32">
        <v>0</v>
      </c>
      <c r="CI33" s="32">
        <v>0</v>
      </c>
      <c r="CJ33" s="32">
        <v>0</v>
      </c>
    </row>
    <row r="34" spans="1:88" hidden="1">
      <c r="A34" s="136"/>
      <c r="B34" s="39" t="str">
        <f ca="1">DEC2HEX(B33,INDIRECT("'parameters recipe'!$C"&amp;B$28))</f>
        <v>0</v>
      </c>
      <c r="C34" s="39" t="e">
        <f t="shared" ref="C34:L34" ca="1" si="46">DEC2HEX(C33,INDIRECT("'parameters recipe'!$C"&amp;C$28))</f>
        <v>#NUM!</v>
      </c>
      <c r="D34" s="39" t="str">
        <f t="shared" ca="1" si="46"/>
        <v>0</v>
      </c>
      <c r="E34" s="39" t="e">
        <f t="shared" ca="1" si="46"/>
        <v>#NUM!</v>
      </c>
      <c r="F34" s="39" t="str">
        <f t="shared" ca="1" si="46"/>
        <v>0</v>
      </c>
      <c r="G34" s="39" t="e">
        <f t="shared" ca="1" si="46"/>
        <v>#NUM!</v>
      </c>
      <c r="H34" s="39" t="str">
        <f t="shared" ca="1" si="46"/>
        <v>0</v>
      </c>
      <c r="I34" s="39" t="e">
        <f t="shared" ca="1" si="46"/>
        <v>#NUM!</v>
      </c>
      <c r="J34" s="39" t="str">
        <f t="shared" ca="1" si="46"/>
        <v>0</v>
      </c>
      <c r="K34" s="39" t="e">
        <f t="shared" ca="1" si="46"/>
        <v>#NUM!</v>
      </c>
      <c r="L34" s="39" t="str">
        <f t="shared" ca="1" si="46"/>
        <v>0</v>
      </c>
      <c r="M34" s="123" t="str">
        <f>BIN2HEX(CONCATENATE(M33,N33,O33,P33,Q33,R33,S33,T33),2)</f>
        <v>00</v>
      </c>
      <c r="N34" s="124"/>
      <c r="O34" s="124"/>
      <c r="P34" s="124"/>
      <c r="Q34" s="124"/>
      <c r="R34" s="124"/>
      <c r="S34" s="124"/>
      <c r="T34" s="125"/>
      <c r="U34" s="39" t="e">
        <f t="shared" ref="U34:X34" ca="1" si="47">DEC2HEX(U33,INDIRECT("'parameters recipe'!$C"&amp;U$28))</f>
        <v>#NUM!</v>
      </c>
      <c r="V34" s="39" t="e">
        <f t="shared" ca="1" si="47"/>
        <v>#NUM!</v>
      </c>
      <c r="W34" s="39" t="e">
        <f t="shared" ca="1" si="47"/>
        <v>#NUM!</v>
      </c>
      <c r="X34" s="39" t="e">
        <f t="shared" ca="1" si="47"/>
        <v>#NUM!</v>
      </c>
      <c r="Y34" s="123" t="str">
        <f>BIN2HEX(CONCATENATE(Y33,Z33,AA33,AB33,AC33,AD33,AE33,AF33),2)</f>
        <v>00</v>
      </c>
      <c r="Z34" s="124"/>
      <c r="AA34" s="124"/>
      <c r="AB34" s="124"/>
      <c r="AC34" s="124"/>
      <c r="AD34" s="124"/>
      <c r="AE34" s="124"/>
      <c r="AF34" s="125"/>
      <c r="AG34" s="123" t="str">
        <f>BIN2HEX(CONCATENATE(AG33,AH33,AI33,AJ33,AK33,AL33,AM33,AN33),2)</f>
        <v>00</v>
      </c>
      <c r="AH34" s="124"/>
      <c r="AI34" s="124"/>
      <c r="AJ34" s="124"/>
      <c r="AK34" s="124"/>
      <c r="AL34" s="124"/>
      <c r="AM34" s="124"/>
      <c r="AN34" s="125"/>
      <c r="AO34" s="123" t="str">
        <f>BIN2HEX(CONCATENATE(AO33,AP33,AQ33,AR33,AS33,AT33,AU33,AV33),2)</f>
        <v>00</v>
      </c>
      <c r="AP34" s="124"/>
      <c r="AQ34" s="124"/>
      <c r="AR34" s="124"/>
      <c r="AS34" s="124"/>
      <c r="AT34" s="124"/>
      <c r="AU34" s="124"/>
      <c r="AV34" s="125"/>
      <c r="AW34" s="123" t="str">
        <f>BIN2HEX(CONCATENATE(AW33,AX33,AY33,AZ33,BA33,BB33,BC33,BD33),2)</f>
        <v>00</v>
      </c>
      <c r="AX34" s="124"/>
      <c r="AY34" s="124"/>
      <c r="AZ34" s="124"/>
      <c r="BA34" s="124"/>
      <c r="BB34" s="124"/>
      <c r="BC34" s="124"/>
      <c r="BD34" s="125"/>
      <c r="BE34" s="123" t="str">
        <f>BIN2HEX(CONCATENATE(BE33,BF33,BG33,BH33,BI33,BJ33,BK33,BL33),2)</f>
        <v>00</v>
      </c>
      <c r="BF34" s="124"/>
      <c r="BG34" s="124"/>
      <c r="BH34" s="124"/>
      <c r="BI34" s="124"/>
      <c r="BJ34" s="124"/>
      <c r="BK34" s="124"/>
      <c r="BL34" s="125"/>
      <c r="BM34" s="123" t="str">
        <f>BIN2HEX(CONCATENATE(BM33,BN33,BO33,BP33,BQ33,BR33,BS33,BT33),2)</f>
        <v>00</v>
      </c>
      <c r="BN34" s="124"/>
      <c r="BO34" s="124"/>
      <c r="BP34" s="124"/>
      <c r="BQ34" s="124"/>
      <c r="BR34" s="124"/>
      <c r="BS34" s="124"/>
      <c r="BT34" s="125"/>
      <c r="BU34" s="123" t="str">
        <f>BIN2HEX(CONCATENATE(BU33,BV33,BW33,BX33,BY33,BZ33,CA33,CB33),2)</f>
        <v>00</v>
      </c>
      <c r="BV34" s="124"/>
      <c r="BW34" s="124"/>
      <c r="BX34" s="124"/>
      <c r="BY34" s="124"/>
      <c r="BZ34" s="124"/>
      <c r="CA34" s="124"/>
      <c r="CB34" s="125"/>
      <c r="CC34" s="123" t="str">
        <f>BIN2HEX(CONCATENATE(CC33,CD33,CE33,CF33,CG33,CH33,CI33,CJ33),2)</f>
        <v>00</v>
      </c>
      <c r="CD34" s="124"/>
      <c r="CE34" s="124"/>
      <c r="CF34" s="124"/>
      <c r="CG34" s="124"/>
      <c r="CH34" s="124"/>
      <c r="CI34" s="124"/>
      <c r="CJ34" s="125"/>
    </row>
    <row r="35" spans="1:88">
      <c r="A35" s="135" t="s">
        <v>13</v>
      </c>
      <c r="B35" s="32">
        <v>0</v>
      </c>
      <c r="C35" s="32">
        <v>0</v>
      </c>
      <c r="D35" s="32">
        <v>0</v>
      </c>
      <c r="E35" s="32">
        <v>0</v>
      </c>
      <c r="F35" s="32">
        <v>0</v>
      </c>
      <c r="G35" s="32">
        <v>0</v>
      </c>
      <c r="H35" s="32">
        <v>0</v>
      </c>
      <c r="I35" s="32">
        <v>0</v>
      </c>
      <c r="J35" s="32">
        <v>0</v>
      </c>
      <c r="K35" s="32">
        <v>0</v>
      </c>
      <c r="L35" s="32">
        <v>0</v>
      </c>
      <c r="M35" s="32">
        <v>0</v>
      </c>
      <c r="N35" s="32">
        <v>0</v>
      </c>
      <c r="O35" s="32">
        <v>0</v>
      </c>
      <c r="P35" s="32">
        <v>0</v>
      </c>
      <c r="Q35" s="32">
        <v>0</v>
      </c>
      <c r="R35" s="32">
        <v>0</v>
      </c>
      <c r="S35" s="32">
        <v>0</v>
      </c>
      <c r="T35" s="32">
        <v>0</v>
      </c>
      <c r="U35" s="32">
        <v>0</v>
      </c>
      <c r="V35" s="32">
        <v>0</v>
      </c>
      <c r="W35" s="32">
        <v>0</v>
      </c>
      <c r="X35" s="32">
        <v>0</v>
      </c>
      <c r="Y35" s="32">
        <v>0</v>
      </c>
      <c r="Z35" s="32">
        <v>0</v>
      </c>
      <c r="AA35" s="32">
        <v>0</v>
      </c>
      <c r="AB35" s="32">
        <v>0</v>
      </c>
      <c r="AC35" s="32">
        <v>0</v>
      </c>
      <c r="AD35" s="32">
        <v>0</v>
      </c>
      <c r="AE35" s="32">
        <v>0</v>
      </c>
      <c r="AF35" s="32">
        <v>0</v>
      </c>
      <c r="AG35" s="32">
        <v>0</v>
      </c>
      <c r="AH35" s="32">
        <v>0</v>
      </c>
      <c r="AI35" s="32">
        <v>0</v>
      </c>
      <c r="AJ35" s="32">
        <v>0</v>
      </c>
      <c r="AK35" s="32">
        <v>0</v>
      </c>
      <c r="AL35" s="32">
        <v>0</v>
      </c>
      <c r="AM35" s="32">
        <v>0</v>
      </c>
      <c r="AN35" s="32">
        <v>0</v>
      </c>
      <c r="AO35" s="32">
        <v>0</v>
      </c>
      <c r="AP35" s="32">
        <v>0</v>
      </c>
      <c r="AQ35" s="32">
        <v>0</v>
      </c>
      <c r="AR35" s="32">
        <v>0</v>
      </c>
      <c r="AS35" s="32">
        <v>0</v>
      </c>
      <c r="AT35" s="32">
        <v>0</v>
      </c>
      <c r="AU35" s="32">
        <v>0</v>
      </c>
      <c r="AV35" s="32">
        <v>0</v>
      </c>
      <c r="AW35" s="32">
        <v>0</v>
      </c>
      <c r="AX35" s="32">
        <v>0</v>
      </c>
      <c r="AY35" s="32">
        <v>0</v>
      </c>
      <c r="AZ35" s="32">
        <v>0</v>
      </c>
      <c r="BA35" s="32">
        <v>0</v>
      </c>
      <c r="BB35" s="32">
        <v>0</v>
      </c>
      <c r="BC35" s="32">
        <v>0</v>
      </c>
      <c r="BD35" s="32">
        <v>0</v>
      </c>
      <c r="BE35" s="32">
        <v>0</v>
      </c>
      <c r="BF35" s="32">
        <v>0</v>
      </c>
      <c r="BG35" s="32">
        <v>0</v>
      </c>
      <c r="BH35" s="32">
        <v>0</v>
      </c>
      <c r="BI35" s="32">
        <v>0</v>
      </c>
      <c r="BJ35" s="32">
        <v>0</v>
      </c>
      <c r="BK35" s="32">
        <v>0</v>
      </c>
      <c r="BL35" s="32">
        <v>0</v>
      </c>
      <c r="BM35" s="32">
        <v>0</v>
      </c>
      <c r="BN35" s="32">
        <v>0</v>
      </c>
      <c r="BO35" s="32">
        <v>0</v>
      </c>
      <c r="BP35" s="32">
        <v>0</v>
      </c>
      <c r="BQ35" s="32">
        <v>0</v>
      </c>
      <c r="BR35" s="32">
        <v>0</v>
      </c>
      <c r="BS35" s="32">
        <v>0</v>
      </c>
      <c r="BT35" s="32">
        <v>0</v>
      </c>
      <c r="BU35" s="32">
        <v>0</v>
      </c>
      <c r="BV35" s="32">
        <v>0</v>
      </c>
      <c r="BW35" s="32">
        <v>0</v>
      </c>
      <c r="BX35" s="32">
        <v>0</v>
      </c>
      <c r="BY35" s="32">
        <v>0</v>
      </c>
      <c r="BZ35" s="32">
        <v>0</v>
      </c>
      <c r="CA35" s="32">
        <v>0</v>
      </c>
      <c r="CB35" s="32">
        <v>0</v>
      </c>
      <c r="CC35" s="32">
        <v>0</v>
      </c>
      <c r="CD35" s="32">
        <v>0</v>
      </c>
      <c r="CE35" s="32">
        <v>0</v>
      </c>
      <c r="CF35" s="32">
        <v>0</v>
      </c>
      <c r="CG35" s="32">
        <v>0</v>
      </c>
      <c r="CH35" s="32">
        <v>0</v>
      </c>
      <c r="CI35" s="32">
        <v>0</v>
      </c>
      <c r="CJ35" s="32">
        <v>0</v>
      </c>
    </row>
    <row r="36" spans="1:88" hidden="1">
      <c r="A36" s="136"/>
      <c r="B36" s="39" t="str">
        <f ca="1">DEC2HEX(B35,INDIRECT("'parameters recipe'!$C"&amp;B$28))</f>
        <v>0</v>
      </c>
      <c r="C36" s="39" t="e">
        <f t="shared" ref="C36:L36" ca="1" si="48">DEC2HEX(C35,INDIRECT("'parameters recipe'!$C"&amp;C$28))</f>
        <v>#NUM!</v>
      </c>
      <c r="D36" s="39" t="str">
        <f t="shared" ca="1" si="48"/>
        <v>0</v>
      </c>
      <c r="E36" s="39" t="e">
        <f t="shared" ca="1" si="48"/>
        <v>#NUM!</v>
      </c>
      <c r="F36" s="39" t="str">
        <f t="shared" ca="1" si="48"/>
        <v>0</v>
      </c>
      <c r="G36" s="39" t="e">
        <f t="shared" ca="1" si="48"/>
        <v>#NUM!</v>
      </c>
      <c r="H36" s="39" t="str">
        <f t="shared" ca="1" si="48"/>
        <v>0</v>
      </c>
      <c r="I36" s="39" t="e">
        <f t="shared" ca="1" si="48"/>
        <v>#NUM!</v>
      </c>
      <c r="J36" s="39" t="str">
        <f t="shared" ca="1" si="48"/>
        <v>0</v>
      </c>
      <c r="K36" s="39" t="e">
        <f t="shared" ca="1" si="48"/>
        <v>#NUM!</v>
      </c>
      <c r="L36" s="39" t="str">
        <f t="shared" ca="1" si="48"/>
        <v>0</v>
      </c>
      <c r="M36" s="123" t="str">
        <f>BIN2HEX(CONCATENATE(M35,N35,O35,P35,Q35,R35,S35,T35),2)</f>
        <v>00</v>
      </c>
      <c r="N36" s="124"/>
      <c r="O36" s="124"/>
      <c r="P36" s="124"/>
      <c r="Q36" s="124"/>
      <c r="R36" s="124"/>
      <c r="S36" s="124"/>
      <c r="T36" s="125"/>
      <c r="U36" s="39" t="e">
        <f t="shared" ref="U36:X36" ca="1" si="49">DEC2HEX(U35,INDIRECT("'parameters recipe'!$C"&amp;U$28))</f>
        <v>#NUM!</v>
      </c>
      <c r="V36" s="39" t="e">
        <f t="shared" ca="1" si="49"/>
        <v>#NUM!</v>
      </c>
      <c r="W36" s="39" t="e">
        <f t="shared" ca="1" si="49"/>
        <v>#NUM!</v>
      </c>
      <c r="X36" s="39" t="e">
        <f t="shared" ca="1" si="49"/>
        <v>#NUM!</v>
      </c>
      <c r="Y36" s="123" t="str">
        <f>BIN2HEX(CONCATENATE(Y35,Z35,AA35,AB35,AC35,AD35,AE35,AF35),2)</f>
        <v>00</v>
      </c>
      <c r="Z36" s="124"/>
      <c r="AA36" s="124"/>
      <c r="AB36" s="124"/>
      <c r="AC36" s="124"/>
      <c r="AD36" s="124"/>
      <c r="AE36" s="124"/>
      <c r="AF36" s="125"/>
      <c r="AG36" s="123" t="str">
        <f>BIN2HEX(CONCATENATE(AG35,AH35,AI35,AJ35,AK35,AL35,AM35,AN35),2)</f>
        <v>00</v>
      </c>
      <c r="AH36" s="124"/>
      <c r="AI36" s="124"/>
      <c r="AJ36" s="124"/>
      <c r="AK36" s="124"/>
      <c r="AL36" s="124"/>
      <c r="AM36" s="124"/>
      <c r="AN36" s="125"/>
      <c r="AO36" s="123" t="str">
        <f>BIN2HEX(CONCATENATE(AO35,AP35,AQ35,AR35,AS35,AT35,AU35,AV35),2)</f>
        <v>00</v>
      </c>
      <c r="AP36" s="124"/>
      <c r="AQ36" s="124"/>
      <c r="AR36" s="124"/>
      <c r="AS36" s="124"/>
      <c r="AT36" s="124"/>
      <c r="AU36" s="124"/>
      <c r="AV36" s="125"/>
      <c r="AW36" s="123" t="str">
        <f>BIN2HEX(CONCATENATE(AW35,AX35,AY35,AZ35,BA35,BB35,BC35,BD35),2)</f>
        <v>00</v>
      </c>
      <c r="AX36" s="124"/>
      <c r="AY36" s="124"/>
      <c r="AZ36" s="124"/>
      <c r="BA36" s="124"/>
      <c r="BB36" s="124"/>
      <c r="BC36" s="124"/>
      <c r="BD36" s="125"/>
      <c r="BE36" s="123" t="str">
        <f>BIN2HEX(CONCATENATE(BE35,BF35,BG35,BH35,BI35,BJ35,BK35,BL35),2)</f>
        <v>00</v>
      </c>
      <c r="BF36" s="124"/>
      <c r="BG36" s="124"/>
      <c r="BH36" s="124"/>
      <c r="BI36" s="124"/>
      <c r="BJ36" s="124"/>
      <c r="BK36" s="124"/>
      <c r="BL36" s="125"/>
      <c r="BM36" s="123" t="str">
        <f>BIN2HEX(CONCATENATE(BM35,BN35,BO35,BP35,BQ35,BR35,BS35,BT35),2)</f>
        <v>00</v>
      </c>
      <c r="BN36" s="124"/>
      <c r="BO36" s="124"/>
      <c r="BP36" s="124"/>
      <c r="BQ36" s="124"/>
      <c r="BR36" s="124"/>
      <c r="BS36" s="124"/>
      <c r="BT36" s="125"/>
      <c r="BU36" s="123" t="str">
        <f>BIN2HEX(CONCATENATE(BU35,BV35,BW35,BX35,BY35,BZ35,CA35,CB35),2)</f>
        <v>00</v>
      </c>
      <c r="BV36" s="124"/>
      <c r="BW36" s="124"/>
      <c r="BX36" s="124"/>
      <c r="BY36" s="124"/>
      <c r="BZ36" s="124"/>
      <c r="CA36" s="124"/>
      <c r="CB36" s="125"/>
      <c r="CC36" s="123" t="str">
        <f>BIN2HEX(CONCATENATE(CC35,CD35,CE35,CF35,CG35,CH35,CI35,CJ35),2)</f>
        <v>00</v>
      </c>
      <c r="CD36" s="124"/>
      <c r="CE36" s="124"/>
      <c r="CF36" s="124"/>
      <c r="CG36" s="124"/>
      <c r="CH36" s="124"/>
      <c r="CI36" s="124"/>
      <c r="CJ36" s="125"/>
    </row>
    <row r="37" spans="1:88">
      <c r="A37" s="135" t="s">
        <v>14</v>
      </c>
      <c r="B37" s="32">
        <v>0</v>
      </c>
      <c r="C37" s="32">
        <v>0</v>
      </c>
      <c r="D37" s="32">
        <v>0</v>
      </c>
      <c r="E37" s="32">
        <v>0</v>
      </c>
      <c r="F37" s="32">
        <v>0</v>
      </c>
      <c r="G37" s="32">
        <v>0</v>
      </c>
      <c r="H37" s="32">
        <v>0</v>
      </c>
      <c r="I37" s="32">
        <v>0</v>
      </c>
      <c r="J37" s="32">
        <v>0</v>
      </c>
      <c r="K37" s="32">
        <v>0</v>
      </c>
      <c r="L37" s="32">
        <v>0</v>
      </c>
      <c r="M37" s="32">
        <v>0</v>
      </c>
      <c r="N37" s="32">
        <v>0</v>
      </c>
      <c r="O37" s="32">
        <v>0</v>
      </c>
      <c r="P37" s="32">
        <v>0</v>
      </c>
      <c r="Q37" s="32">
        <v>0</v>
      </c>
      <c r="R37" s="32">
        <v>0</v>
      </c>
      <c r="S37" s="32">
        <v>0</v>
      </c>
      <c r="T37" s="32">
        <v>0</v>
      </c>
      <c r="U37" s="32">
        <v>0</v>
      </c>
      <c r="V37" s="32">
        <v>0</v>
      </c>
      <c r="W37" s="32">
        <v>0</v>
      </c>
      <c r="X37" s="32">
        <v>0</v>
      </c>
      <c r="Y37" s="32">
        <v>0</v>
      </c>
      <c r="Z37" s="32">
        <v>0</v>
      </c>
      <c r="AA37" s="32">
        <v>0</v>
      </c>
      <c r="AB37" s="32">
        <v>0</v>
      </c>
      <c r="AC37" s="32">
        <v>0</v>
      </c>
      <c r="AD37" s="32">
        <v>0</v>
      </c>
      <c r="AE37" s="32">
        <v>0</v>
      </c>
      <c r="AF37" s="32">
        <v>0</v>
      </c>
      <c r="AG37" s="32">
        <v>0</v>
      </c>
      <c r="AH37" s="32">
        <v>0</v>
      </c>
      <c r="AI37" s="32">
        <v>0</v>
      </c>
      <c r="AJ37" s="32">
        <v>0</v>
      </c>
      <c r="AK37" s="32">
        <v>0</v>
      </c>
      <c r="AL37" s="32">
        <v>0</v>
      </c>
      <c r="AM37" s="32">
        <v>0</v>
      </c>
      <c r="AN37" s="32">
        <v>0</v>
      </c>
      <c r="AO37" s="32">
        <v>0</v>
      </c>
      <c r="AP37" s="32">
        <v>0</v>
      </c>
      <c r="AQ37" s="32">
        <v>0</v>
      </c>
      <c r="AR37" s="32">
        <v>0</v>
      </c>
      <c r="AS37" s="32">
        <v>0</v>
      </c>
      <c r="AT37" s="32">
        <v>0</v>
      </c>
      <c r="AU37" s="32">
        <v>0</v>
      </c>
      <c r="AV37" s="32">
        <v>0</v>
      </c>
      <c r="AW37" s="32">
        <v>0</v>
      </c>
      <c r="AX37" s="32">
        <v>0</v>
      </c>
      <c r="AY37" s="32">
        <v>0</v>
      </c>
      <c r="AZ37" s="32">
        <v>0</v>
      </c>
      <c r="BA37" s="32">
        <v>0</v>
      </c>
      <c r="BB37" s="32">
        <v>0</v>
      </c>
      <c r="BC37" s="32">
        <v>0</v>
      </c>
      <c r="BD37" s="32">
        <v>0</v>
      </c>
      <c r="BE37" s="32">
        <v>0</v>
      </c>
      <c r="BF37" s="32">
        <v>0</v>
      </c>
      <c r="BG37" s="32">
        <v>0</v>
      </c>
      <c r="BH37" s="32">
        <v>0</v>
      </c>
      <c r="BI37" s="32">
        <v>0</v>
      </c>
      <c r="BJ37" s="32">
        <v>0</v>
      </c>
      <c r="BK37" s="32">
        <v>0</v>
      </c>
      <c r="BL37" s="32">
        <v>0</v>
      </c>
      <c r="BM37" s="32">
        <v>0</v>
      </c>
      <c r="BN37" s="32">
        <v>0</v>
      </c>
      <c r="BO37" s="32">
        <v>0</v>
      </c>
      <c r="BP37" s="32">
        <v>0</v>
      </c>
      <c r="BQ37" s="32">
        <v>0</v>
      </c>
      <c r="BR37" s="32">
        <v>0</v>
      </c>
      <c r="BS37" s="32">
        <v>0</v>
      </c>
      <c r="BT37" s="32">
        <v>0</v>
      </c>
      <c r="BU37" s="32">
        <v>0</v>
      </c>
      <c r="BV37" s="32">
        <v>0</v>
      </c>
      <c r="BW37" s="32">
        <v>0</v>
      </c>
      <c r="BX37" s="32">
        <v>0</v>
      </c>
      <c r="BY37" s="32">
        <v>0</v>
      </c>
      <c r="BZ37" s="32">
        <v>0</v>
      </c>
      <c r="CA37" s="32">
        <v>0</v>
      </c>
      <c r="CB37" s="32">
        <v>0</v>
      </c>
      <c r="CC37" s="32">
        <v>0</v>
      </c>
      <c r="CD37" s="32">
        <v>0</v>
      </c>
      <c r="CE37" s="32">
        <v>0</v>
      </c>
      <c r="CF37" s="32">
        <v>0</v>
      </c>
      <c r="CG37" s="32">
        <v>0</v>
      </c>
      <c r="CH37" s="32">
        <v>0</v>
      </c>
      <c r="CI37" s="32">
        <v>0</v>
      </c>
      <c r="CJ37" s="32">
        <v>0</v>
      </c>
    </row>
    <row r="38" spans="1:88" hidden="1">
      <c r="A38" s="136"/>
      <c r="B38" s="39" t="str">
        <f ca="1">DEC2HEX(B37,INDIRECT("'parameters recipe'!$C"&amp;B$28))</f>
        <v>0</v>
      </c>
      <c r="C38" s="39" t="e">
        <f t="shared" ref="C38:L38" ca="1" si="50">DEC2HEX(C37,INDIRECT("'parameters recipe'!$C"&amp;C$28))</f>
        <v>#NUM!</v>
      </c>
      <c r="D38" s="39" t="str">
        <f t="shared" ca="1" si="50"/>
        <v>0</v>
      </c>
      <c r="E38" s="39" t="e">
        <f t="shared" ca="1" si="50"/>
        <v>#NUM!</v>
      </c>
      <c r="F38" s="39" t="str">
        <f t="shared" ca="1" si="50"/>
        <v>0</v>
      </c>
      <c r="G38" s="39" t="e">
        <f t="shared" ca="1" si="50"/>
        <v>#NUM!</v>
      </c>
      <c r="H38" s="39" t="str">
        <f t="shared" ca="1" si="50"/>
        <v>0</v>
      </c>
      <c r="I38" s="39" t="e">
        <f t="shared" ca="1" si="50"/>
        <v>#NUM!</v>
      </c>
      <c r="J38" s="39" t="str">
        <f t="shared" ca="1" si="50"/>
        <v>0</v>
      </c>
      <c r="K38" s="39" t="e">
        <f t="shared" ca="1" si="50"/>
        <v>#NUM!</v>
      </c>
      <c r="L38" s="39" t="str">
        <f t="shared" ca="1" si="50"/>
        <v>0</v>
      </c>
      <c r="M38" s="123" t="str">
        <f>BIN2HEX(CONCATENATE(M37,N37,O37,P37,Q37,R37,S37,T37),2)</f>
        <v>00</v>
      </c>
      <c r="N38" s="124"/>
      <c r="O38" s="124"/>
      <c r="P38" s="124"/>
      <c r="Q38" s="124"/>
      <c r="R38" s="124"/>
      <c r="S38" s="124"/>
      <c r="T38" s="125"/>
      <c r="U38" s="39" t="e">
        <f t="shared" ref="U38:X38" ca="1" si="51">DEC2HEX(U37,INDIRECT("'parameters recipe'!$C"&amp;U$28))</f>
        <v>#NUM!</v>
      </c>
      <c r="V38" s="39" t="e">
        <f t="shared" ca="1" si="51"/>
        <v>#NUM!</v>
      </c>
      <c r="W38" s="39" t="e">
        <f t="shared" ca="1" si="51"/>
        <v>#NUM!</v>
      </c>
      <c r="X38" s="39" t="e">
        <f t="shared" ca="1" si="51"/>
        <v>#NUM!</v>
      </c>
      <c r="Y38" s="123" t="str">
        <f>BIN2HEX(CONCATENATE(Y37,Z37,AA37,AB37,AC37,AD37,AE37,AF37),2)</f>
        <v>00</v>
      </c>
      <c r="Z38" s="124"/>
      <c r="AA38" s="124"/>
      <c r="AB38" s="124"/>
      <c r="AC38" s="124"/>
      <c r="AD38" s="124"/>
      <c r="AE38" s="124"/>
      <c r="AF38" s="125"/>
      <c r="AG38" s="123" t="str">
        <f>BIN2HEX(CONCATENATE(AG37,AH37,AI37,AJ37,AK37,AL37,AM37,AN37),2)</f>
        <v>00</v>
      </c>
      <c r="AH38" s="124"/>
      <c r="AI38" s="124"/>
      <c r="AJ38" s="124"/>
      <c r="AK38" s="124"/>
      <c r="AL38" s="124"/>
      <c r="AM38" s="124"/>
      <c r="AN38" s="125"/>
      <c r="AO38" s="123" t="str">
        <f>BIN2HEX(CONCATENATE(AO37,AP37,AQ37,AR37,AS37,AT37,AU37,AV37),2)</f>
        <v>00</v>
      </c>
      <c r="AP38" s="124"/>
      <c r="AQ38" s="124"/>
      <c r="AR38" s="124"/>
      <c r="AS38" s="124"/>
      <c r="AT38" s="124"/>
      <c r="AU38" s="124"/>
      <c r="AV38" s="125"/>
      <c r="AW38" s="123" t="str">
        <f>BIN2HEX(CONCATENATE(AW37,AX37,AY37,AZ37,BA37,BB37,BC37,BD37),2)</f>
        <v>00</v>
      </c>
      <c r="AX38" s="124"/>
      <c r="AY38" s="124"/>
      <c r="AZ38" s="124"/>
      <c r="BA38" s="124"/>
      <c r="BB38" s="124"/>
      <c r="BC38" s="124"/>
      <c r="BD38" s="125"/>
      <c r="BE38" s="123" t="str">
        <f>BIN2HEX(CONCATENATE(BE37,BF37,BG37,BH37,BI37,BJ37,BK37,BL37),2)</f>
        <v>00</v>
      </c>
      <c r="BF38" s="124"/>
      <c r="BG38" s="124"/>
      <c r="BH38" s="124"/>
      <c r="BI38" s="124"/>
      <c r="BJ38" s="124"/>
      <c r="BK38" s="124"/>
      <c r="BL38" s="125"/>
      <c r="BM38" s="123" t="str">
        <f>BIN2HEX(CONCATENATE(BM37,BN37,BO37,BP37,BQ37,BR37,BS37,BT37),2)</f>
        <v>00</v>
      </c>
      <c r="BN38" s="124"/>
      <c r="BO38" s="124"/>
      <c r="BP38" s="124"/>
      <c r="BQ38" s="124"/>
      <c r="BR38" s="124"/>
      <c r="BS38" s="124"/>
      <c r="BT38" s="125"/>
      <c r="BU38" s="123" t="str">
        <f>BIN2HEX(CONCATENATE(BU37,BV37,BW37,BX37,BY37,BZ37,CA37,CB37),2)</f>
        <v>00</v>
      </c>
      <c r="BV38" s="124"/>
      <c r="BW38" s="124"/>
      <c r="BX38" s="124"/>
      <c r="BY38" s="124"/>
      <c r="BZ38" s="124"/>
      <c r="CA38" s="124"/>
      <c r="CB38" s="125"/>
      <c r="CC38" s="123" t="str">
        <f>BIN2HEX(CONCATENATE(CC37,CD37,CE37,CF37,CG37,CH37,CI37,CJ37),2)</f>
        <v>00</v>
      </c>
      <c r="CD38" s="124"/>
      <c r="CE38" s="124"/>
      <c r="CF38" s="124"/>
      <c r="CG38" s="124"/>
      <c r="CH38" s="124"/>
      <c r="CI38" s="124"/>
      <c r="CJ38" s="125"/>
    </row>
    <row r="39" spans="1:88">
      <c r="A39" s="135" t="s">
        <v>15</v>
      </c>
      <c r="B39" s="32">
        <v>0</v>
      </c>
      <c r="C39" s="32">
        <v>0</v>
      </c>
      <c r="D39" s="32">
        <v>0</v>
      </c>
      <c r="E39" s="32">
        <v>0</v>
      </c>
      <c r="F39" s="32">
        <v>0</v>
      </c>
      <c r="G39" s="32">
        <v>0</v>
      </c>
      <c r="H39" s="32">
        <v>0</v>
      </c>
      <c r="I39" s="32">
        <v>0</v>
      </c>
      <c r="J39" s="32">
        <v>0</v>
      </c>
      <c r="K39" s="32">
        <v>0</v>
      </c>
      <c r="L39" s="32">
        <v>0</v>
      </c>
      <c r="M39" s="32">
        <v>0</v>
      </c>
      <c r="N39" s="32">
        <v>0</v>
      </c>
      <c r="O39" s="32">
        <v>0</v>
      </c>
      <c r="P39" s="32">
        <v>0</v>
      </c>
      <c r="Q39" s="32">
        <v>0</v>
      </c>
      <c r="R39" s="32">
        <v>0</v>
      </c>
      <c r="S39" s="32">
        <v>0</v>
      </c>
      <c r="T39" s="32">
        <v>0</v>
      </c>
      <c r="U39" s="32">
        <v>0</v>
      </c>
      <c r="V39" s="32">
        <v>0</v>
      </c>
      <c r="W39" s="32">
        <v>0</v>
      </c>
      <c r="X39" s="32">
        <v>0</v>
      </c>
      <c r="Y39" s="32">
        <v>0</v>
      </c>
      <c r="Z39" s="32">
        <v>0</v>
      </c>
      <c r="AA39" s="32">
        <v>0</v>
      </c>
      <c r="AB39" s="32">
        <v>0</v>
      </c>
      <c r="AC39" s="32">
        <v>0</v>
      </c>
      <c r="AD39" s="32">
        <v>0</v>
      </c>
      <c r="AE39" s="32">
        <v>0</v>
      </c>
      <c r="AF39" s="32">
        <v>0</v>
      </c>
      <c r="AG39" s="32">
        <v>0</v>
      </c>
      <c r="AH39" s="32">
        <v>0</v>
      </c>
      <c r="AI39" s="32">
        <v>0</v>
      </c>
      <c r="AJ39" s="32">
        <v>0</v>
      </c>
      <c r="AK39" s="32">
        <v>0</v>
      </c>
      <c r="AL39" s="32">
        <v>0</v>
      </c>
      <c r="AM39" s="32">
        <v>0</v>
      </c>
      <c r="AN39" s="32">
        <v>0</v>
      </c>
      <c r="AO39" s="32">
        <v>0</v>
      </c>
      <c r="AP39" s="32">
        <v>0</v>
      </c>
      <c r="AQ39" s="32">
        <v>0</v>
      </c>
      <c r="AR39" s="32">
        <v>0</v>
      </c>
      <c r="AS39" s="32">
        <v>0</v>
      </c>
      <c r="AT39" s="32">
        <v>0</v>
      </c>
      <c r="AU39" s="32">
        <v>0</v>
      </c>
      <c r="AV39" s="32">
        <v>0</v>
      </c>
      <c r="AW39" s="32">
        <v>0</v>
      </c>
      <c r="AX39" s="32">
        <v>0</v>
      </c>
      <c r="AY39" s="32">
        <v>0</v>
      </c>
      <c r="AZ39" s="32">
        <v>0</v>
      </c>
      <c r="BA39" s="32">
        <v>0</v>
      </c>
      <c r="BB39" s="32">
        <v>0</v>
      </c>
      <c r="BC39" s="32">
        <v>0</v>
      </c>
      <c r="BD39" s="32">
        <v>0</v>
      </c>
      <c r="BE39" s="32">
        <v>0</v>
      </c>
      <c r="BF39" s="32">
        <v>0</v>
      </c>
      <c r="BG39" s="32">
        <v>0</v>
      </c>
      <c r="BH39" s="32">
        <v>0</v>
      </c>
      <c r="BI39" s="32">
        <v>0</v>
      </c>
      <c r="BJ39" s="32">
        <v>0</v>
      </c>
      <c r="BK39" s="32">
        <v>0</v>
      </c>
      <c r="BL39" s="32">
        <v>0</v>
      </c>
      <c r="BM39" s="32">
        <v>0</v>
      </c>
      <c r="BN39" s="32">
        <v>0</v>
      </c>
      <c r="BO39" s="32">
        <v>0</v>
      </c>
      <c r="BP39" s="32">
        <v>0</v>
      </c>
      <c r="BQ39" s="32">
        <v>0</v>
      </c>
      <c r="BR39" s="32">
        <v>0</v>
      </c>
      <c r="BS39" s="32">
        <v>0</v>
      </c>
      <c r="BT39" s="32">
        <v>0</v>
      </c>
      <c r="BU39" s="32">
        <v>0</v>
      </c>
      <c r="BV39" s="32">
        <v>0</v>
      </c>
      <c r="BW39" s="32">
        <v>0</v>
      </c>
      <c r="BX39" s="32">
        <v>0</v>
      </c>
      <c r="BY39" s="32">
        <v>0</v>
      </c>
      <c r="BZ39" s="32">
        <v>0</v>
      </c>
      <c r="CA39" s="32">
        <v>0</v>
      </c>
      <c r="CB39" s="32">
        <v>0</v>
      </c>
      <c r="CC39" s="32">
        <v>0</v>
      </c>
      <c r="CD39" s="32">
        <v>0</v>
      </c>
      <c r="CE39" s="32">
        <v>0</v>
      </c>
      <c r="CF39" s="32">
        <v>0</v>
      </c>
      <c r="CG39" s="32">
        <v>0</v>
      </c>
      <c r="CH39" s="32">
        <v>0</v>
      </c>
      <c r="CI39" s="32">
        <v>0</v>
      </c>
      <c r="CJ39" s="32">
        <v>0</v>
      </c>
    </row>
    <row r="40" spans="1:88" hidden="1">
      <c r="A40" s="136"/>
      <c r="B40" s="39" t="str">
        <f ca="1">DEC2HEX(B39,INDIRECT("'parameters recipe'!$C"&amp;B$28))</f>
        <v>0</v>
      </c>
      <c r="C40" s="39" t="e">
        <f t="shared" ref="C40:L40" ca="1" si="52">DEC2HEX(C39,INDIRECT("'parameters recipe'!$C"&amp;C$28))</f>
        <v>#NUM!</v>
      </c>
      <c r="D40" s="39" t="str">
        <f t="shared" ca="1" si="52"/>
        <v>0</v>
      </c>
      <c r="E40" s="39" t="e">
        <f t="shared" ca="1" si="52"/>
        <v>#NUM!</v>
      </c>
      <c r="F40" s="39" t="str">
        <f t="shared" ca="1" si="52"/>
        <v>0</v>
      </c>
      <c r="G40" s="39" t="e">
        <f t="shared" ca="1" si="52"/>
        <v>#NUM!</v>
      </c>
      <c r="H40" s="39" t="str">
        <f t="shared" ca="1" si="52"/>
        <v>0</v>
      </c>
      <c r="I40" s="39" t="e">
        <f t="shared" ca="1" si="52"/>
        <v>#NUM!</v>
      </c>
      <c r="J40" s="39" t="str">
        <f t="shared" ca="1" si="52"/>
        <v>0</v>
      </c>
      <c r="K40" s="39" t="e">
        <f t="shared" ca="1" si="52"/>
        <v>#NUM!</v>
      </c>
      <c r="L40" s="39" t="str">
        <f t="shared" ca="1" si="52"/>
        <v>0</v>
      </c>
      <c r="M40" s="123" t="str">
        <f>BIN2HEX(CONCATENATE(M39,N39,O39,P39,Q39,R39,S39,T39),2)</f>
        <v>00</v>
      </c>
      <c r="N40" s="124"/>
      <c r="O40" s="124"/>
      <c r="P40" s="124"/>
      <c r="Q40" s="124"/>
      <c r="R40" s="124"/>
      <c r="S40" s="124"/>
      <c r="T40" s="125"/>
      <c r="U40" s="39" t="e">
        <f t="shared" ref="U40:X40" ca="1" si="53">DEC2HEX(U39,INDIRECT("'parameters recipe'!$C"&amp;U$28))</f>
        <v>#NUM!</v>
      </c>
      <c r="V40" s="39" t="e">
        <f t="shared" ca="1" si="53"/>
        <v>#NUM!</v>
      </c>
      <c r="W40" s="39" t="e">
        <f t="shared" ca="1" si="53"/>
        <v>#NUM!</v>
      </c>
      <c r="X40" s="39" t="e">
        <f t="shared" ca="1" si="53"/>
        <v>#NUM!</v>
      </c>
      <c r="Y40" s="123" t="str">
        <f>BIN2HEX(CONCATENATE(Y39,Z39,AA39,AB39,AC39,AD39,AE39,AF39),2)</f>
        <v>00</v>
      </c>
      <c r="Z40" s="124"/>
      <c r="AA40" s="124"/>
      <c r="AB40" s="124"/>
      <c r="AC40" s="124"/>
      <c r="AD40" s="124"/>
      <c r="AE40" s="124"/>
      <c r="AF40" s="125"/>
      <c r="AG40" s="123" t="str">
        <f>BIN2HEX(CONCATENATE(AG39,AH39,AI39,AJ39,AK39,AL39,AM39,AN39),2)</f>
        <v>00</v>
      </c>
      <c r="AH40" s="124"/>
      <c r="AI40" s="124"/>
      <c r="AJ40" s="124"/>
      <c r="AK40" s="124"/>
      <c r="AL40" s="124"/>
      <c r="AM40" s="124"/>
      <c r="AN40" s="125"/>
      <c r="AO40" s="123" t="str">
        <f>BIN2HEX(CONCATENATE(AO39,AP39,AQ39,AR39,AS39,AT39,AU39,AV39),2)</f>
        <v>00</v>
      </c>
      <c r="AP40" s="124"/>
      <c r="AQ40" s="124"/>
      <c r="AR40" s="124"/>
      <c r="AS40" s="124"/>
      <c r="AT40" s="124"/>
      <c r="AU40" s="124"/>
      <c r="AV40" s="125"/>
      <c r="AW40" s="123" t="str">
        <f>BIN2HEX(CONCATENATE(AW39,AX39,AY39,AZ39,BA39,BB39,BC39,BD39),2)</f>
        <v>00</v>
      </c>
      <c r="AX40" s="124"/>
      <c r="AY40" s="124"/>
      <c r="AZ40" s="124"/>
      <c r="BA40" s="124"/>
      <c r="BB40" s="124"/>
      <c r="BC40" s="124"/>
      <c r="BD40" s="125"/>
      <c r="BE40" s="123" t="str">
        <f>BIN2HEX(CONCATENATE(BE39,BF39,BG39,BH39,BI39,BJ39,BK39,BL39),2)</f>
        <v>00</v>
      </c>
      <c r="BF40" s="124"/>
      <c r="BG40" s="124"/>
      <c r="BH40" s="124"/>
      <c r="BI40" s="124"/>
      <c r="BJ40" s="124"/>
      <c r="BK40" s="124"/>
      <c r="BL40" s="125"/>
      <c r="BM40" s="123" t="str">
        <f>BIN2HEX(CONCATENATE(BM39,BN39,BO39,BP39,BQ39,BR39,BS39,BT39),2)</f>
        <v>00</v>
      </c>
      <c r="BN40" s="124"/>
      <c r="BO40" s="124"/>
      <c r="BP40" s="124"/>
      <c r="BQ40" s="124"/>
      <c r="BR40" s="124"/>
      <c r="BS40" s="124"/>
      <c r="BT40" s="125"/>
      <c r="BU40" s="123" t="str">
        <f>BIN2HEX(CONCATENATE(BU39,BV39,BW39,BX39,BY39,BZ39,CA39,CB39),2)</f>
        <v>00</v>
      </c>
      <c r="BV40" s="124"/>
      <c r="BW40" s="124"/>
      <c r="BX40" s="124"/>
      <c r="BY40" s="124"/>
      <c r="BZ40" s="124"/>
      <c r="CA40" s="124"/>
      <c r="CB40" s="125"/>
      <c r="CC40" s="123" t="str">
        <f>BIN2HEX(CONCATENATE(CC39,CD39,CE39,CF39,CG39,CH39,CI39,CJ39),2)</f>
        <v>00</v>
      </c>
      <c r="CD40" s="124"/>
      <c r="CE40" s="124"/>
      <c r="CF40" s="124"/>
      <c r="CG40" s="124"/>
      <c r="CH40" s="124"/>
      <c r="CI40" s="124"/>
      <c r="CJ40" s="125"/>
    </row>
    <row r="41" spans="1:88">
      <c r="A41" s="135" t="s">
        <v>16</v>
      </c>
      <c r="B41" s="32">
        <v>0</v>
      </c>
      <c r="C41" s="32">
        <v>0</v>
      </c>
      <c r="D41" s="32">
        <v>0</v>
      </c>
      <c r="E41" s="32">
        <v>0</v>
      </c>
      <c r="F41" s="32">
        <v>0</v>
      </c>
      <c r="G41" s="32">
        <v>0</v>
      </c>
      <c r="H41" s="32">
        <v>0</v>
      </c>
      <c r="I41" s="32">
        <v>0</v>
      </c>
      <c r="J41" s="32">
        <v>0</v>
      </c>
      <c r="K41" s="32">
        <v>0</v>
      </c>
      <c r="L41" s="32">
        <v>0</v>
      </c>
      <c r="M41" s="32">
        <v>0</v>
      </c>
      <c r="N41" s="32">
        <v>0</v>
      </c>
      <c r="O41" s="32">
        <v>0</v>
      </c>
      <c r="P41" s="32">
        <v>0</v>
      </c>
      <c r="Q41" s="32">
        <v>0</v>
      </c>
      <c r="R41" s="32">
        <v>0</v>
      </c>
      <c r="S41" s="32">
        <v>0</v>
      </c>
      <c r="T41" s="32">
        <v>0</v>
      </c>
      <c r="U41" s="32">
        <v>0</v>
      </c>
      <c r="V41" s="32">
        <v>0</v>
      </c>
      <c r="W41" s="32">
        <v>0</v>
      </c>
      <c r="X41" s="32">
        <v>0</v>
      </c>
      <c r="Y41" s="32">
        <v>0</v>
      </c>
      <c r="Z41" s="32">
        <v>0</v>
      </c>
      <c r="AA41" s="32">
        <v>0</v>
      </c>
      <c r="AB41" s="32">
        <v>0</v>
      </c>
      <c r="AC41" s="32">
        <v>0</v>
      </c>
      <c r="AD41" s="32">
        <v>0</v>
      </c>
      <c r="AE41" s="32">
        <v>0</v>
      </c>
      <c r="AF41" s="32">
        <v>0</v>
      </c>
      <c r="AG41" s="32">
        <v>0</v>
      </c>
      <c r="AH41" s="32">
        <v>0</v>
      </c>
      <c r="AI41" s="32">
        <v>0</v>
      </c>
      <c r="AJ41" s="32">
        <v>0</v>
      </c>
      <c r="AK41" s="32">
        <v>0</v>
      </c>
      <c r="AL41" s="32">
        <v>0</v>
      </c>
      <c r="AM41" s="32">
        <v>0</v>
      </c>
      <c r="AN41" s="32">
        <v>0</v>
      </c>
      <c r="AO41" s="32">
        <v>0</v>
      </c>
      <c r="AP41" s="32">
        <v>0</v>
      </c>
      <c r="AQ41" s="32">
        <v>0</v>
      </c>
      <c r="AR41" s="32">
        <v>0</v>
      </c>
      <c r="AS41" s="32">
        <v>0</v>
      </c>
      <c r="AT41" s="32">
        <v>0</v>
      </c>
      <c r="AU41" s="32">
        <v>0</v>
      </c>
      <c r="AV41" s="32">
        <v>0</v>
      </c>
      <c r="AW41" s="32">
        <v>0</v>
      </c>
      <c r="AX41" s="32">
        <v>0</v>
      </c>
      <c r="AY41" s="32">
        <v>0</v>
      </c>
      <c r="AZ41" s="32">
        <v>0</v>
      </c>
      <c r="BA41" s="32">
        <v>0</v>
      </c>
      <c r="BB41" s="32">
        <v>0</v>
      </c>
      <c r="BC41" s="32">
        <v>0</v>
      </c>
      <c r="BD41" s="32">
        <v>0</v>
      </c>
      <c r="BE41" s="32">
        <v>0</v>
      </c>
      <c r="BF41" s="32">
        <v>0</v>
      </c>
      <c r="BG41" s="32">
        <v>0</v>
      </c>
      <c r="BH41" s="32">
        <v>0</v>
      </c>
      <c r="BI41" s="32">
        <v>0</v>
      </c>
      <c r="BJ41" s="32">
        <v>0</v>
      </c>
      <c r="BK41" s="32">
        <v>0</v>
      </c>
      <c r="BL41" s="32">
        <v>0</v>
      </c>
      <c r="BM41" s="32">
        <v>0</v>
      </c>
      <c r="BN41" s="32">
        <v>0</v>
      </c>
      <c r="BO41" s="32">
        <v>0</v>
      </c>
      <c r="BP41" s="32">
        <v>0</v>
      </c>
      <c r="BQ41" s="32">
        <v>0</v>
      </c>
      <c r="BR41" s="32">
        <v>0</v>
      </c>
      <c r="BS41" s="32">
        <v>0</v>
      </c>
      <c r="BT41" s="32">
        <v>0</v>
      </c>
      <c r="BU41" s="32">
        <v>0</v>
      </c>
      <c r="BV41" s="32">
        <v>0</v>
      </c>
      <c r="BW41" s="32">
        <v>0</v>
      </c>
      <c r="BX41" s="32">
        <v>0</v>
      </c>
      <c r="BY41" s="32">
        <v>0</v>
      </c>
      <c r="BZ41" s="32">
        <v>0</v>
      </c>
      <c r="CA41" s="32">
        <v>0</v>
      </c>
      <c r="CB41" s="32">
        <v>0</v>
      </c>
      <c r="CC41" s="32">
        <v>0</v>
      </c>
      <c r="CD41" s="32">
        <v>0</v>
      </c>
      <c r="CE41" s="32">
        <v>0</v>
      </c>
      <c r="CF41" s="32">
        <v>0</v>
      </c>
      <c r="CG41" s="32">
        <v>0</v>
      </c>
      <c r="CH41" s="32">
        <v>0</v>
      </c>
      <c r="CI41" s="32">
        <v>0</v>
      </c>
      <c r="CJ41" s="32">
        <v>0</v>
      </c>
    </row>
    <row r="42" spans="1:88" hidden="1">
      <c r="A42" s="136"/>
      <c r="B42" s="39" t="str">
        <f ca="1">DEC2HEX(B41,INDIRECT("'parameters recipe'!$C"&amp;B$28))</f>
        <v>0</v>
      </c>
      <c r="C42" s="39" t="e">
        <f t="shared" ref="C42:L42" ca="1" si="54">DEC2HEX(C41,INDIRECT("'parameters recipe'!$C"&amp;C$28))</f>
        <v>#NUM!</v>
      </c>
      <c r="D42" s="39" t="str">
        <f t="shared" ca="1" si="54"/>
        <v>0</v>
      </c>
      <c r="E42" s="39" t="e">
        <f t="shared" ca="1" si="54"/>
        <v>#NUM!</v>
      </c>
      <c r="F42" s="39" t="str">
        <f t="shared" ca="1" si="54"/>
        <v>0</v>
      </c>
      <c r="G42" s="39" t="e">
        <f t="shared" ca="1" si="54"/>
        <v>#NUM!</v>
      </c>
      <c r="H42" s="39" t="str">
        <f t="shared" ca="1" si="54"/>
        <v>0</v>
      </c>
      <c r="I42" s="39" t="e">
        <f t="shared" ca="1" si="54"/>
        <v>#NUM!</v>
      </c>
      <c r="J42" s="39" t="str">
        <f t="shared" ca="1" si="54"/>
        <v>0</v>
      </c>
      <c r="K42" s="39" t="e">
        <f t="shared" ca="1" si="54"/>
        <v>#NUM!</v>
      </c>
      <c r="L42" s="39" t="str">
        <f t="shared" ca="1" si="54"/>
        <v>0</v>
      </c>
      <c r="M42" s="123" t="str">
        <f>BIN2HEX(CONCATENATE(M41,N41,O41,P41,Q41,R41,S41,T41),2)</f>
        <v>00</v>
      </c>
      <c r="N42" s="124"/>
      <c r="O42" s="124"/>
      <c r="P42" s="124"/>
      <c r="Q42" s="124"/>
      <c r="R42" s="124"/>
      <c r="S42" s="124"/>
      <c r="T42" s="125"/>
      <c r="U42" s="39" t="e">
        <f t="shared" ref="U42:X42" ca="1" si="55">DEC2HEX(U41,INDIRECT("'parameters recipe'!$C"&amp;U$28))</f>
        <v>#NUM!</v>
      </c>
      <c r="V42" s="39" t="e">
        <f t="shared" ca="1" si="55"/>
        <v>#NUM!</v>
      </c>
      <c r="W42" s="39" t="e">
        <f t="shared" ca="1" si="55"/>
        <v>#NUM!</v>
      </c>
      <c r="X42" s="39" t="e">
        <f t="shared" ca="1" si="55"/>
        <v>#NUM!</v>
      </c>
      <c r="Y42" s="123" t="str">
        <f>BIN2HEX(CONCATENATE(Y41,Z41,AA41,AB41,AC41,AD41,AE41,AF41),2)</f>
        <v>00</v>
      </c>
      <c r="Z42" s="124"/>
      <c r="AA42" s="124"/>
      <c r="AB42" s="124"/>
      <c r="AC42" s="124"/>
      <c r="AD42" s="124"/>
      <c r="AE42" s="124"/>
      <c r="AF42" s="125"/>
      <c r="AG42" s="123" t="str">
        <f>BIN2HEX(CONCATENATE(AG41,AH41,AI41,AJ41,AK41,AL41,AM41,AN41),2)</f>
        <v>00</v>
      </c>
      <c r="AH42" s="124"/>
      <c r="AI42" s="124"/>
      <c r="AJ42" s="124"/>
      <c r="AK42" s="124"/>
      <c r="AL42" s="124"/>
      <c r="AM42" s="124"/>
      <c r="AN42" s="125"/>
      <c r="AO42" s="123" t="str">
        <f>BIN2HEX(CONCATENATE(AO41,AP41,AQ41,AR41,AS41,AT41,AU41,AV41),2)</f>
        <v>00</v>
      </c>
      <c r="AP42" s="124"/>
      <c r="AQ42" s="124"/>
      <c r="AR42" s="124"/>
      <c r="AS42" s="124"/>
      <c r="AT42" s="124"/>
      <c r="AU42" s="124"/>
      <c r="AV42" s="125"/>
      <c r="AW42" s="123" t="str">
        <f>BIN2HEX(CONCATENATE(AW41,AX41,AY41,AZ41,BA41,BB41,BC41,BD41),2)</f>
        <v>00</v>
      </c>
      <c r="AX42" s="124"/>
      <c r="AY42" s="124"/>
      <c r="AZ42" s="124"/>
      <c r="BA42" s="124"/>
      <c r="BB42" s="124"/>
      <c r="BC42" s="124"/>
      <c r="BD42" s="125"/>
      <c r="BE42" s="123" t="str">
        <f>BIN2HEX(CONCATENATE(BE41,BF41,BG41,BH41,BI41,BJ41,BK41,BL41),2)</f>
        <v>00</v>
      </c>
      <c r="BF42" s="124"/>
      <c r="BG42" s="124"/>
      <c r="BH42" s="124"/>
      <c r="BI42" s="124"/>
      <c r="BJ42" s="124"/>
      <c r="BK42" s="124"/>
      <c r="BL42" s="125"/>
      <c r="BM42" s="123" t="str">
        <f>BIN2HEX(CONCATENATE(BM41,BN41,BO41,BP41,BQ41,BR41,BS41,BT41),2)</f>
        <v>00</v>
      </c>
      <c r="BN42" s="124"/>
      <c r="BO42" s="124"/>
      <c r="BP42" s="124"/>
      <c r="BQ42" s="124"/>
      <c r="BR42" s="124"/>
      <c r="BS42" s="124"/>
      <c r="BT42" s="125"/>
      <c r="BU42" s="123" t="str">
        <f>BIN2HEX(CONCATENATE(BU41,BV41,BW41,BX41,BY41,BZ41,CA41,CB41),2)</f>
        <v>00</v>
      </c>
      <c r="BV42" s="124"/>
      <c r="BW42" s="124"/>
      <c r="BX42" s="124"/>
      <c r="BY42" s="124"/>
      <c r="BZ42" s="124"/>
      <c r="CA42" s="124"/>
      <c r="CB42" s="125"/>
      <c r="CC42" s="123" t="str">
        <f>BIN2HEX(CONCATENATE(CC41,CD41,CE41,CF41,CG41,CH41,CI41,CJ41),2)</f>
        <v>00</v>
      </c>
      <c r="CD42" s="124"/>
      <c r="CE42" s="124"/>
      <c r="CF42" s="124"/>
      <c r="CG42" s="124"/>
      <c r="CH42" s="124"/>
      <c r="CI42" s="124"/>
      <c r="CJ42" s="125"/>
    </row>
    <row r="43" spans="1:88">
      <c r="A43" s="135" t="s">
        <v>17</v>
      </c>
      <c r="B43" s="32">
        <v>0</v>
      </c>
      <c r="C43" s="32">
        <v>0</v>
      </c>
      <c r="D43" s="32">
        <v>0</v>
      </c>
      <c r="E43" s="32">
        <v>0</v>
      </c>
      <c r="F43" s="32">
        <v>0</v>
      </c>
      <c r="G43" s="32">
        <v>0</v>
      </c>
      <c r="H43" s="32">
        <v>0</v>
      </c>
      <c r="I43" s="32">
        <v>0</v>
      </c>
      <c r="J43" s="32">
        <v>0</v>
      </c>
      <c r="K43" s="32">
        <v>0</v>
      </c>
      <c r="L43" s="32">
        <v>0</v>
      </c>
      <c r="M43" s="32">
        <v>0</v>
      </c>
      <c r="N43" s="32">
        <v>0</v>
      </c>
      <c r="O43" s="32">
        <v>0</v>
      </c>
      <c r="P43" s="32">
        <v>0</v>
      </c>
      <c r="Q43" s="32">
        <v>0</v>
      </c>
      <c r="R43" s="32">
        <v>0</v>
      </c>
      <c r="S43" s="32">
        <v>0</v>
      </c>
      <c r="T43" s="32">
        <v>0</v>
      </c>
      <c r="U43" s="32">
        <v>0</v>
      </c>
      <c r="V43" s="32">
        <v>0</v>
      </c>
      <c r="W43" s="32">
        <v>0</v>
      </c>
      <c r="X43" s="32">
        <v>0</v>
      </c>
      <c r="Y43" s="32">
        <v>0</v>
      </c>
      <c r="Z43" s="32">
        <v>0</v>
      </c>
      <c r="AA43" s="32">
        <v>0</v>
      </c>
      <c r="AB43" s="32">
        <v>0</v>
      </c>
      <c r="AC43" s="32">
        <v>0</v>
      </c>
      <c r="AD43" s="32">
        <v>0</v>
      </c>
      <c r="AE43" s="32">
        <v>0</v>
      </c>
      <c r="AF43" s="32">
        <v>0</v>
      </c>
      <c r="AG43" s="32">
        <v>0</v>
      </c>
      <c r="AH43" s="32">
        <v>0</v>
      </c>
      <c r="AI43" s="32">
        <v>0</v>
      </c>
      <c r="AJ43" s="32">
        <v>0</v>
      </c>
      <c r="AK43" s="32">
        <v>0</v>
      </c>
      <c r="AL43" s="32">
        <v>0</v>
      </c>
      <c r="AM43" s="32">
        <v>0</v>
      </c>
      <c r="AN43" s="32">
        <v>0</v>
      </c>
      <c r="AO43" s="32">
        <v>0</v>
      </c>
      <c r="AP43" s="32">
        <v>0</v>
      </c>
      <c r="AQ43" s="32">
        <v>0</v>
      </c>
      <c r="AR43" s="32">
        <v>0</v>
      </c>
      <c r="AS43" s="32">
        <v>0</v>
      </c>
      <c r="AT43" s="32">
        <v>0</v>
      </c>
      <c r="AU43" s="32">
        <v>0</v>
      </c>
      <c r="AV43" s="32">
        <v>0</v>
      </c>
      <c r="AW43" s="32">
        <v>0</v>
      </c>
      <c r="AX43" s="32">
        <v>0</v>
      </c>
      <c r="AY43" s="32">
        <v>0</v>
      </c>
      <c r="AZ43" s="32">
        <v>0</v>
      </c>
      <c r="BA43" s="32">
        <v>0</v>
      </c>
      <c r="BB43" s="32">
        <v>0</v>
      </c>
      <c r="BC43" s="32">
        <v>0</v>
      </c>
      <c r="BD43" s="32">
        <v>0</v>
      </c>
      <c r="BE43" s="32">
        <v>0</v>
      </c>
      <c r="BF43" s="32">
        <v>0</v>
      </c>
      <c r="BG43" s="32">
        <v>0</v>
      </c>
      <c r="BH43" s="32">
        <v>0</v>
      </c>
      <c r="BI43" s="32">
        <v>0</v>
      </c>
      <c r="BJ43" s="32">
        <v>0</v>
      </c>
      <c r="BK43" s="32">
        <v>0</v>
      </c>
      <c r="BL43" s="32">
        <v>0</v>
      </c>
      <c r="BM43" s="32">
        <v>0</v>
      </c>
      <c r="BN43" s="32">
        <v>0</v>
      </c>
      <c r="BO43" s="32">
        <v>0</v>
      </c>
      <c r="BP43" s="32">
        <v>0</v>
      </c>
      <c r="BQ43" s="32">
        <v>0</v>
      </c>
      <c r="BR43" s="32">
        <v>0</v>
      </c>
      <c r="BS43" s="32">
        <v>0</v>
      </c>
      <c r="BT43" s="32">
        <v>0</v>
      </c>
      <c r="BU43" s="32">
        <v>0</v>
      </c>
      <c r="BV43" s="32">
        <v>0</v>
      </c>
      <c r="BW43" s="32">
        <v>0</v>
      </c>
      <c r="BX43" s="32">
        <v>0</v>
      </c>
      <c r="BY43" s="32">
        <v>0</v>
      </c>
      <c r="BZ43" s="32">
        <v>0</v>
      </c>
      <c r="CA43" s="32">
        <v>0</v>
      </c>
      <c r="CB43" s="32">
        <v>0</v>
      </c>
      <c r="CC43" s="32">
        <v>0</v>
      </c>
      <c r="CD43" s="32">
        <v>0</v>
      </c>
      <c r="CE43" s="32">
        <v>0</v>
      </c>
      <c r="CF43" s="32">
        <v>0</v>
      </c>
      <c r="CG43" s="32">
        <v>0</v>
      </c>
      <c r="CH43" s="32">
        <v>0</v>
      </c>
      <c r="CI43" s="32">
        <v>0</v>
      </c>
      <c r="CJ43" s="32">
        <v>0</v>
      </c>
    </row>
    <row r="44" spans="1:88" hidden="1">
      <c r="A44" s="136"/>
      <c r="B44" s="39" t="str">
        <f ca="1">DEC2HEX(B43,INDIRECT("'parameters recipe'!$C"&amp;B$28))</f>
        <v>0</v>
      </c>
      <c r="C44" s="39" t="e">
        <f t="shared" ref="C44:L44" ca="1" si="56">DEC2HEX(C43,INDIRECT("'parameters recipe'!$C"&amp;C$28))</f>
        <v>#NUM!</v>
      </c>
      <c r="D44" s="39" t="str">
        <f t="shared" ca="1" si="56"/>
        <v>0</v>
      </c>
      <c r="E44" s="39" t="e">
        <f t="shared" ca="1" si="56"/>
        <v>#NUM!</v>
      </c>
      <c r="F44" s="39" t="str">
        <f t="shared" ca="1" si="56"/>
        <v>0</v>
      </c>
      <c r="G44" s="39" t="e">
        <f t="shared" ca="1" si="56"/>
        <v>#NUM!</v>
      </c>
      <c r="H44" s="39" t="str">
        <f t="shared" ca="1" si="56"/>
        <v>0</v>
      </c>
      <c r="I44" s="39" t="e">
        <f t="shared" ca="1" si="56"/>
        <v>#NUM!</v>
      </c>
      <c r="J44" s="39" t="str">
        <f t="shared" ca="1" si="56"/>
        <v>0</v>
      </c>
      <c r="K44" s="39" t="e">
        <f t="shared" ca="1" si="56"/>
        <v>#NUM!</v>
      </c>
      <c r="L44" s="39" t="str">
        <f t="shared" ca="1" si="56"/>
        <v>0</v>
      </c>
      <c r="M44" s="123" t="str">
        <f>BIN2HEX(CONCATENATE(M43,N43,O43,P43,Q43,R43,S43,T43),2)</f>
        <v>00</v>
      </c>
      <c r="N44" s="124"/>
      <c r="O44" s="124"/>
      <c r="P44" s="124"/>
      <c r="Q44" s="124"/>
      <c r="R44" s="124"/>
      <c r="S44" s="124"/>
      <c r="T44" s="125"/>
      <c r="U44" s="39" t="e">
        <f t="shared" ref="U44:X44" ca="1" si="57">DEC2HEX(U43,INDIRECT("'parameters recipe'!$C"&amp;U$28))</f>
        <v>#NUM!</v>
      </c>
      <c r="V44" s="39" t="e">
        <f t="shared" ca="1" si="57"/>
        <v>#NUM!</v>
      </c>
      <c r="W44" s="39" t="e">
        <f t="shared" ca="1" si="57"/>
        <v>#NUM!</v>
      </c>
      <c r="X44" s="39" t="e">
        <f t="shared" ca="1" si="57"/>
        <v>#NUM!</v>
      </c>
      <c r="Y44" s="123" t="str">
        <f>BIN2HEX(CONCATENATE(Y43,Z43,AA43,AB43,AC43,AD43,AE43,AF43),2)</f>
        <v>00</v>
      </c>
      <c r="Z44" s="124"/>
      <c r="AA44" s="124"/>
      <c r="AB44" s="124"/>
      <c r="AC44" s="124"/>
      <c r="AD44" s="124"/>
      <c r="AE44" s="124"/>
      <c r="AF44" s="125"/>
      <c r="AG44" s="123" t="str">
        <f>BIN2HEX(CONCATENATE(AG43,AH43,AI43,AJ43,AK43,AL43,AM43,AN43),2)</f>
        <v>00</v>
      </c>
      <c r="AH44" s="124"/>
      <c r="AI44" s="124"/>
      <c r="AJ44" s="124"/>
      <c r="AK44" s="124"/>
      <c r="AL44" s="124"/>
      <c r="AM44" s="124"/>
      <c r="AN44" s="125"/>
      <c r="AO44" s="123" t="str">
        <f>BIN2HEX(CONCATENATE(AO43,AP43,AQ43,AR43,AS43,AT43,AU43,AV43),2)</f>
        <v>00</v>
      </c>
      <c r="AP44" s="124"/>
      <c r="AQ44" s="124"/>
      <c r="AR44" s="124"/>
      <c r="AS44" s="124"/>
      <c r="AT44" s="124"/>
      <c r="AU44" s="124"/>
      <c r="AV44" s="125"/>
      <c r="AW44" s="123" t="str">
        <f>BIN2HEX(CONCATENATE(AW43,AX43,AY43,AZ43,BA43,BB43,BC43,BD43),2)</f>
        <v>00</v>
      </c>
      <c r="AX44" s="124"/>
      <c r="AY44" s="124"/>
      <c r="AZ44" s="124"/>
      <c r="BA44" s="124"/>
      <c r="BB44" s="124"/>
      <c r="BC44" s="124"/>
      <c r="BD44" s="125"/>
      <c r="BE44" s="123" t="str">
        <f>BIN2HEX(CONCATENATE(BE43,BF43,BG43,BH43,BI43,BJ43,BK43,BL43),2)</f>
        <v>00</v>
      </c>
      <c r="BF44" s="124"/>
      <c r="BG44" s="124"/>
      <c r="BH44" s="124"/>
      <c r="BI44" s="124"/>
      <c r="BJ44" s="124"/>
      <c r="BK44" s="124"/>
      <c r="BL44" s="125"/>
      <c r="BM44" s="123" t="str">
        <f>BIN2HEX(CONCATENATE(BM43,BN43,BO43,BP43,BQ43,BR43,BS43,BT43),2)</f>
        <v>00</v>
      </c>
      <c r="BN44" s="124"/>
      <c r="BO44" s="124"/>
      <c r="BP44" s="124"/>
      <c r="BQ44" s="124"/>
      <c r="BR44" s="124"/>
      <c r="BS44" s="124"/>
      <c r="BT44" s="125"/>
      <c r="BU44" s="123" t="str">
        <f>BIN2HEX(CONCATENATE(BU43,BV43,BW43,BX43,BY43,BZ43,CA43,CB43),2)</f>
        <v>00</v>
      </c>
      <c r="BV44" s="124"/>
      <c r="BW44" s="124"/>
      <c r="BX44" s="124"/>
      <c r="BY44" s="124"/>
      <c r="BZ44" s="124"/>
      <c r="CA44" s="124"/>
      <c r="CB44" s="125"/>
      <c r="CC44" s="123" t="str">
        <f>BIN2HEX(CONCATENATE(CC43,CD43,CE43,CF43,CG43,CH43,CI43,CJ43),2)</f>
        <v>00</v>
      </c>
      <c r="CD44" s="124"/>
      <c r="CE44" s="124"/>
      <c r="CF44" s="124"/>
      <c r="CG44" s="124"/>
      <c r="CH44" s="124"/>
      <c r="CI44" s="124"/>
      <c r="CJ44" s="125"/>
    </row>
    <row r="45" spans="1:88">
      <c r="A45" s="135" t="s">
        <v>18</v>
      </c>
      <c r="B45" s="32">
        <v>0</v>
      </c>
      <c r="C45" s="32">
        <v>0</v>
      </c>
      <c r="D45" s="32">
        <v>0</v>
      </c>
      <c r="E45" s="32">
        <v>0</v>
      </c>
      <c r="F45" s="32">
        <v>0</v>
      </c>
      <c r="G45" s="32">
        <v>0</v>
      </c>
      <c r="H45" s="32">
        <v>0</v>
      </c>
      <c r="I45" s="32">
        <v>0</v>
      </c>
      <c r="J45" s="32">
        <v>0</v>
      </c>
      <c r="K45" s="32">
        <v>0</v>
      </c>
      <c r="L45" s="32">
        <v>0</v>
      </c>
      <c r="M45" s="32">
        <v>0</v>
      </c>
      <c r="N45" s="32">
        <v>0</v>
      </c>
      <c r="O45" s="32">
        <v>0</v>
      </c>
      <c r="P45" s="32">
        <v>0</v>
      </c>
      <c r="Q45" s="32">
        <v>0</v>
      </c>
      <c r="R45" s="32">
        <v>0</v>
      </c>
      <c r="S45" s="32">
        <v>0</v>
      </c>
      <c r="T45" s="32">
        <v>0</v>
      </c>
      <c r="U45" s="32">
        <v>0</v>
      </c>
      <c r="V45" s="32">
        <v>0</v>
      </c>
      <c r="W45" s="32">
        <v>0</v>
      </c>
      <c r="X45" s="32">
        <v>0</v>
      </c>
      <c r="Y45" s="32">
        <v>0</v>
      </c>
      <c r="Z45" s="32">
        <v>0</v>
      </c>
      <c r="AA45" s="32">
        <v>0</v>
      </c>
      <c r="AB45" s="32">
        <v>0</v>
      </c>
      <c r="AC45" s="32">
        <v>0</v>
      </c>
      <c r="AD45" s="32">
        <v>0</v>
      </c>
      <c r="AE45" s="32">
        <v>0</v>
      </c>
      <c r="AF45" s="32">
        <v>0</v>
      </c>
      <c r="AG45" s="32">
        <v>0</v>
      </c>
      <c r="AH45" s="32">
        <v>0</v>
      </c>
      <c r="AI45" s="32">
        <v>0</v>
      </c>
      <c r="AJ45" s="32">
        <v>0</v>
      </c>
      <c r="AK45" s="32">
        <v>0</v>
      </c>
      <c r="AL45" s="32">
        <v>0</v>
      </c>
      <c r="AM45" s="32">
        <v>0</v>
      </c>
      <c r="AN45" s="32">
        <v>0</v>
      </c>
      <c r="AO45" s="32">
        <v>0</v>
      </c>
      <c r="AP45" s="32">
        <v>0</v>
      </c>
      <c r="AQ45" s="32">
        <v>0</v>
      </c>
      <c r="AR45" s="32">
        <v>0</v>
      </c>
      <c r="AS45" s="32">
        <v>0</v>
      </c>
      <c r="AT45" s="32">
        <v>0</v>
      </c>
      <c r="AU45" s="32">
        <v>0</v>
      </c>
      <c r="AV45" s="32">
        <v>0</v>
      </c>
      <c r="AW45" s="32">
        <v>0</v>
      </c>
      <c r="AX45" s="32">
        <v>0</v>
      </c>
      <c r="AY45" s="32">
        <v>0</v>
      </c>
      <c r="AZ45" s="32">
        <v>0</v>
      </c>
      <c r="BA45" s="32">
        <v>0</v>
      </c>
      <c r="BB45" s="32">
        <v>0</v>
      </c>
      <c r="BC45" s="32">
        <v>0</v>
      </c>
      <c r="BD45" s="32">
        <v>0</v>
      </c>
      <c r="BE45" s="32">
        <v>0</v>
      </c>
      <c r="BF45" s="32">
        <v>0</v>
      </c>
      <c r="BG45" s="32">
        <v>0</v>
      </c>
      <c r="BH45" s="32">
        <v>0</v>
      </c>
      <c r="BI45" s="32">
        <v>0</v>
      </c>
      <c r="BJ45" s="32">
        <v>0</v>
      </c>
      <c r="BK45" s="32">
        <v>0</v>
      </c>
      <c r="BL45" s="32">
        <v>0</v>
      </c>
      <c r="BM45" s="32">
        <v>0</v>
      </c>
      <c r="BN45" s="32">
        <v>0</v>
      </c>
      <c r="BO45" s="32">
        <v>0</v>
      </c>
      <c r="BP45" s="32">
        <v>0</v>
      </c>
      <c r="BQ45" s="32">
        <v>0</v>
      </c>
      <c r="BR45" s="32">
        <v>0</v>
      </c>
      <c r="BS45" s="32">
        <v>0</v>
      </c>
      <c r="BT45" s="32">
        <v>0</v>
      </c>
      <c r="BU45" s="32">
        <v>0</v>
      </c>
      <c r="BV45" s="32">
        <v>0</v>
      </c>
      <c r="BW45" s="32">
        <v>0</v>
      </c>
      <c r="BX45" s="32">
        <v>0</v>
      </c>
      <c r="BY45" s="32">
        <v>0</v>
      </c>
      <c r="BZ45" s="32">
        <v>0</v>
      </c>
      <c r="CA45" s="32">
        <v>0</v>
      </c>
      <c r="CB45" s="32">
        <v>0</v>
      </c>
      <c r="CC45" s="32">
        <v>0</v>
      </c>
      <c r="CD45" s="32">
        <v>0</v>
      </c>
      <c r="CE45" s="32">
        <v>0</v>
      </c>
      <c r="CF45" s="32">
        <v>0</v>
      </c>
      <c r="CG45" s="32">
        <v>0</v>
      </c>
      <c r="CH45" s="32">
        <v>0</v>
      </c>
      <c r="CI45" s="32">
        <v>0</v>
      </c>
      <c r="CJ45" s="32">
        <v>0</v>
      </c>
    </row>
    <row r="46" spans="1:88" hidden="1">
      <c r="A46" s="136"/>
      <c r="B46" s="39" t="str">
        <f ca="1">DEC2HEX(B45,INDIRECT("'parameters recipe'!$C"&amp;B$28))</f>
        <v>0</v>
      </c>
      <c r="C46" s="39" t="e">
        <f t="shared" ref="C46:L46" ca="1" si="58">DEC2HEX(C45,INDIRECT("'parameters recipe'!$C"&amp;C$28))</f>
        <v>#NUM!</v>
      </c>
      <c r="D46" s="39" t="str">
        <f t="shared" ca="1" si="58"/>
        <v>0</v>
      </c>
      <c r="E46" s="39" t="e">
        <f t="shared" ca="1" si="58"/>
        <v>#NUM!</v>
      </c>
      <c r="F46" s="39" t="str">
        <f t="shared" ca="1" si="58"/>
        <v>0</v>
      </c>
      <c r="G46" s="39" t="e">
        <f t="shared" ca="1" si="58"/>
        <v>#NUM!</v>
      </c>
      <c r="H46" s="39" t="str">
        <f t="shared" ca="1" si="58"/>
        <v>0</v>
      </c>
      <c r="I46" s="39" t="e">
        <f t="shared" ca="1" si="58"/>
        <v>#NUM!</v>
      </c>
      <c r="J46" s="39" t="str">
        <f t="shared" ca="1" si="58"/>
        <v>0</v>
      </c>
      <c r="K46" s="39" t="e">
        <f t="shared" ca="1" si="58"/>
        <v>#NUM!</v>
      </c>
      <c r="L46" s="39" t="str">
        <f t="shared" ca="1" si="58"/>
        <v>0</v>
      </c>
      <c r="M46" s="123" t="str">
        <f>BIN2HEX(CONCATENATE(M45,N45,O45,P45,Q45,R45,S45,T45),2)</f>
        <v>00</v>
      </c>
      <c r="N46" s="124"/>
      <c r="O46" s="124"/>
      <c r="P46" s="124"/>
      <c r="Q46" s="124"/>
      <c r="R46" s="124"/>
      <c r="S46" s="124"/>
      <c r="T46" s="125"/>
      <c r="U46" s="39" t="e">
        <f t="shared" ref="U46:X46" ca="1" si="59">DEC2HEX(U45,INDIRECT("'parameters recipe'!$C"&amp;U$28))</f>
        <v>#NUM!</v>
      </c>
      <c r="V46" s="39" t="e">
        <f t="shared" ca="1" si="59"/>
        <v>#NUM!</v>
      </c>
      <c r="W46" s="39" t="e">
        <f t="shared" ca="1" si="59"/>
        <v>#NUM!</v>
      </c>
      <c r="X46" s="39" t="e">
        <f t="shared" ca="1" si="59"/>
        <v>#NUM!</v>
      </c>
      <c r="Y46" s="123" t="str">
        <f>BIN2HEX(CONCATENATE(Y45,Z45,AA45,AB45,AC45,AD45,AE45,AF45),2)</f>
        <v>00</v>
      </c>
      <c r="Z46" s="124"/>
      <c r="AA46" s="124"/>
      <c r="AB46" s="124"/>
      <c r="AC46" s="124"/>
      <c r="AD46" s="124"/>
      <c r="AE46" s="124"/>
      <c r="AF46" s="125"/>
      <c r="AG46" s="123" t="str">
        <f>BIN2HEX(CONCATENATE(AG45,AH45,AI45,AJ45,AK45,AL45,AM45,AN45),2)</f>
        <v>00</v>
      </c>
      <c r="AH46" s="124"/>
      <c r="AI46" s="124"/>
      <c r="AJ46" s="124"/>
      <c r="AK46" s="124"/>
      <c r="AL46" s="124"/>
      <c r="AM46" s="124"/>
      <c r="AN46" s="125"/>
      <c r="AO46" s="123" t="str">
        <f>BIN2HEX(CONCATENATE(AO45,AP45,AQ45,AR45,AS45,AT45,AU45,AV45),2)</f>
        <v>00</v>
      </c>
      <c r="AP46" s="124"/>
      <c r="AQ46" s="124"/>
      <c r="AR46" s="124"/>
      <c r="AS46" s="124"/>
      <c r="AT46" s="124"/>
      <c r="AU46" s="124"/>
      <c r="AV46" s="125"/>
      <c r="AW46" s="123" t="str">
        <f>BIN2HEX(CONCATENATE(AW45,AX45,AY45,AZ45,BA45,BB45,BC45,BD45),2)</f>
        <v>00</v>
      </c>
      <c r="AX46" s="124"/>
      <c r="AY46" s="124"/>
      <c r="AZ46" s="124"/>
      <c r="BA46" s="124"/>
      <c r="BB46" s="124"/>
      <c r="BC46" s="124"/>
      <c r="BD46" s="125"/>
      <c r="BE46" s="123" t="str">
        <f>BIN2HEX(CONCATENATE(BE45,BF45,BG45,BH45,BI45,BJ45,BK45,BL45),2)</f>
        <v>00</v>
      </c>
      <c r="BF46" s="124"/>
      <c r="BG46" s="124"/>
      <c r="BH46" s="124"/>
      <c r="BI46" s="124"/>
      <c r="BJ46" s="124"/>
      <c r="BK46" s="124"/>
      <c r="BL46" s="125"/>
      <c r="BM46" s="123" t="str">
        <f>BIN2HEX(CONCATENATE(BM45,BN45,BO45,BP45,BQ45,BR45,BS45,BT45),2)</f>
        <v>00</v>
      </c>
      <c r="BN46" s="124"/>
      <c r="BO46" s="124"/>
      <c r="BP46" s="124"/>
      <c r="BQ46" s="124"/>
      <c r="BR46" s="124"/>
      <c r="BS46" s="124"/>
      <c r="BT46" s="125"/>
      <c r="BU46" s="123" t="str">
        <f>BIN2HEX(CONCATENATE(BU45,BV45,BW45,BX45,BY45,BZ45,CA45,CB45),2)</f>
        <v>00</v>
      </c>
      <c r="BV46" s="124"/>
      <c r="BW46" s="124"/>
      <c r="BX46" s="124"/>
      <c r="BY46" s="124"/>
      <c r="BZ46" s="124"/>
      <c r="CA46" s="124"/>
      <c r="CB46" s="125"/>
      <c r="CC46" s="123" t="str">
        <f>BIN2HEX(CONCATENATE(CC45,CD45,CE45,CF45,CG45,CH45,CI45,CJ45),2)</f>
        <v>00</v>
      </c>
      <c r="CD46" s="124"/>
      <c r="CE46" s="124"/>
      <c r="CF46" s="124"/>
      <c r="CG46" s="124"/>
      <c r="CH46" s="124"/>
      <c r="CI46" s="124"/>
      <c r="CJ46" s="125"/>
    </row>
    <row r="47" spans="1:88">
      <c r="A47" s="135" t="s">
        <v>19</v>
      </c>
      <c r="B47" s="32">
        <v>0</v>
      </c>
      <c r="C47" s="32">
        <v>0</v>
      </c>
      <c r="D47" s="32">
        <v>0</v>
      </c>
      <c r="E47" s="32">
        <v>0</v>
      </c>
      <c r="F47" s="32">
        <v>0</v>
      </c>
      <c r="G47" s="32">
        <v>0</v>
      </c>
      <c r="H47" s="32">
        <v>0</v>
      </c>
      <c r="I47" s="32">
        <v>0</v>
      </c>
      <c r="J47" s="32">
        <v>0</v>
      </c>
      <c r="K47" s="32">
        <v>0</v>
      </c>
      <c r="L47" s="32">
        <v>0</v>
      </c>
      <c r="M47" s="32">
        <v>0</v>
      </c>
      <c r="N47" s="32">
        <v>0</v>
      </c>
      <c r="O47" s="32">
        <v>0</v>
      </c>
      <c r="P47" s="32">
        <v>0</v>
      </c>
      <c r="Q47" s="32">
        <v>0</v>
      </c>
      <c r="R47" s="32">
        <v>0</v>
      </c>
      <c r="S47" s="32">
        <v>0</v>
      </c>
      <c r="T47" s="32">
        <v>0</v>
      </c>
      <c r="U47" s="32">
        <v>0</v>
      </c>
      <c r="V47" s="32">
        <v>0</v>
      </c>
      <c r="W47" s="32">
        <v>0</v>
      </c>
      <c r="X47" s="32">
        <v>0</v>
      </c>
      <c r="Y47" s="32">
        <v>0</v>
      </c>
      <c r="Z47" s="32">
        <v>0</v>
      </c>
      <c r="AA47" s="32">
        <v>0</v>
      </c>
      <c r="AB47" s="32">
        <v>0</v>
      </c>
      <c r="AC47" s="32">
        <v>0</v>
      </c>
      <c r="AD47" s="32">
        <v>0</v>
      </c>
      <c r="AE47" s="32">
        <v>0</v>
      </c>
      <c r="AF47" s="32">
        <v>0</v>
      </c>
      <c r="AG47" s="32">
        <v>0</v>
      </c>
      <c r="AH47" s="32">
        <v>0</v>
      </c>
      <c r="AI47" s="32">
        <v>0</v>
      </c>
      <c r="AJ47" s="32">
        <v>0</v>
      </c>
      <c r="AK47" s="32">
        <v>0</v>
      </c>
      <c r="AL47" s="32">
        <v>0</v>
      </c>
      <c r="AM47" s="32">
        <v>0</v>
      </c>
      <c r="AN47" s="32">
        <v>0</v>
      </c>
      <c r="AO47" s="32">
        <v>0</v>
      </c>
      <c r="AP47" s="32">
        <v>0</v>
      </c>
      <c r="AQ47" s="32">
        <v>0</v>
      </c>
      <c r="AR47" s="32">
        <v>0</v>
      </c>
      <c r="AS47" s="32">
        <v>0</v>
      </c>
      <c r="AT47" s="32">
        <v>0</v>
      </c>
      <c r="AU47" s="32">
        <v>0</v>
      </c>
      <c r="AV47" s="32">
        <v>0</v>
      </c>
      <c r="AW47" s="32">
        <v>0</v>
      </c>
      <c r="AX47" s="32">
        <v>0</v>
      </c>
      <c r="AY47" s="32">
        <v>0</v>
      </c>
      <c r="AZ47" s="32">
        <v>0</v>
      </c>
      <c r="BA47" s="32">
        <v>0</v>
      </c>
      <c r="BB47" s="32">
        <v>0</v>
      </c>
      <c r="BC47" s="32">
        <v>0</v>
      </c>
      <c r="BD47" s="32">
        <v>0</v>
      </c>
      <c r="BE47" s="32">
        <v>0</v>
      </c>
      <c r="BF47" s="32">
        <v>0</v>
      </c>
      <c r="BG47" s="32">
        <v>0</v>
      </c>
      <c r="BH47" s="32">
        <v>0</v>
      </c>
      <c r="BI47" s="32">
        <v>0</v>
      </c>
      <c r="BJ47" s="32">
        <v>0</v>
      </c>
      <c r="BK47" s="32">
        <v>0</v>
      </c>
      <c r="BL47" s="32">
        <v>0</v>
      </c>
      <c r="BM47" s="32">
        <v>0</v>
      </c>
      <c r="BN47" s="32">
        <v>0</v>
      </c>
      <c r="BO47" s="32">
        <v>0</v>
      </c>
      <c r="BP47" s="32">
        <v>0</v>
      </c>
      <c r="BQ47" s="32">
        <v>0</v>
      </c>
      <c r="BR47" s="32">
        <v>0</v>
      </c>
      <c r="BS47" s="32">
        <v>0</v>
      </c>
      <c r="BT47" s="32">
        <v>0</v>
      </c>
      <c r="BU47" s="32">
        <v>0</v>
      </c>
      <c r="BV47" s="32">
        <v>0</v>
      </c>
      <c r="BW47" s="32">
        <v>0</v>
      </c>
      <c r="BX47" s="32">
        <v>0</v>
      </c>
      <c r="BY47" s="32">
        <v>0</v>
      </c>
      <c r="BZ47" s="32">
        <v>0</v>
      </c>
      <c r="CA47" s="32">
        <v>0</v>
      </c>
      <c r="CB47" s="32">
        <v>0</v>
      </c>
      <c r="CC47" s="32">
        <v>0</v>
      </c>
      <c r="CD47" s="32">
        <v>0</v>
      </c>
      <c r="CE47" s="32">
        <v>0</v>
      </c>
      <c r="CF47" s="32">
        <v>0</v>
      </c>
      <c r="CG47" s="32">
        <v>0</v>
      </c>
      <c r="CH47" s="32">
        <v>0</v>
      </c>
      <c r="CI47" s="32">
        <v>0</v>
      </c>
      <c r="CJ47" s="32">
        <v>0</v>
      </c>
    </row>
    <row r="48" spans="1:88" hidden="1">
      <c r="A48" s="136"/>
      <c r="B48" s="39" t="str">
        <f ca="1">DEC2HEX(B47,INDIRECT("'parameters recipe'!$C"&amp;B$28))</f>
        <v>0</v>
      </c>
      <c r="C48" s="39" t="e">
        <f t="shared" ref="C48:L48" ca="1" si="60">DEC2HEX(C47,INDIRECT("'parameters recipe'!$C"&amp;C$28))</f>
        <v>#NUM!</v>
      </c>
      <c r="D48" s="39" t="str">
        <f t="shared" ca="1" si="60"/>
        <v>0</v>
      </c>
      <c r="E48" s="39" t="e">
        <f t="shared" ca="1" si="60"/>
        <v>#NUM!</v>
      </c>
      <c r="F48" s="39" t="str">
        <f t="shared" ca="1" si="60"/>
        <v>0</v>
      </c>
      <c r="G48" s="39" t="e">
        <f t="shared" ca="1" si="60"/>
        <v>#NUM!</v>
      </c>
      <c r="H48" s="39" t="str">
        <f t="shared" ca="1" si="60"/>
        <v>0</v>
      </c>
      <c r="I48" s="39" t="e">
        <f t="shared" ca="1" si="60"/>
        <v>#NUM!</v>
      </c>
      <c r="J48" s="39" t="str">
        <f t="shared" ca="1" si="60"/>
        <v>0</v>
      </c>
      <c r="K48" s="39" t="e">
        <f t="shared" ca="1" si="60"/>
        <v>#NUM!</v>
      </c>
      <c r="L48" s="39" t="str">
        <f t="shared" ca="1" si="60"/>
        <v>0</v>
      </c>
      <c r="M48" s="123" t="str">
        <f>BIN2HEX(CONCATENATE(M47,N47,O47,P47,Q47,R47,S47,T47),2)</f>
        <v>00</v>
      </c>
      <c r="N48" s="124"/>
      <c r="O48" s="124"/>
      <c r="P48" s="124"/>
      <c r="Q48" s="124"/>
      <c r="R48" s="124"/>
      <c r="S48" s="124"/>
      <c r="T48" s="125"/>
      <c r="U48" s="39" t="e">
        <f t="shared" ref="U48:X48" ca="1" si="61">DEC2HEX(U47,INDIRECT("'parameters recipe'!$C"&amp;U$28))</f>
        <v>#NUM!</v>
      </c>
      <c r="V48" s="39" t="e">
        <f t="shared" ca="1" si="61"/>
        <v>#NUM!</v>
      </c>
      <c r="W48" s="39" t="e">
        <f t="shared" ca="1" si="61"/>
        <v>#NUM!</v>
      </c>
      <c r="X48" s="39" t="e">
        <f t="shared" ca="1" si="61"/>
        <v>#NUM!</v>
      </c>
      <c r="Y48" s="123" t="str">
        <f>BIN2HEX(CONCATENATE(Y47,Z47,AA47,AB47,AC47,AD47,AE47,AF47),2)</f>
        <v>00</v>
      </c>
      <c r="Z48" s="124"/>
      <c r="AA48" s="124"/>
      <c r="AB48" s="124"/>
      <c r="AC48" s="124"/>
      <c r="AD48" s="124"/>
      <c r="AE48" s="124"/>
      <c r="AF48" s="125"/>
      <c r="AG48" s="123" t="str">
        <f>BIN2HEX(CONCATENATE(AG47,AH47,AI47,AJ47,AK47,AL47,AM47,AN47),2)</f>
        <v>00</v>
      </c>
      <c r="AH48" s="124"/>
      <c r="AI48" s="124"/>
      <c r="AJ48" s="124"/>
      <c r="AK48" s="124"/>
      <c r="AL48" s="124"/>
      <c r="AM48" s="124"/>
      <c r="AN48" s="125"/>
      <c r="AO48" s="123" t="str">
        <f>BIN2HEX(CONCATENATE(AO47,AP47,AQ47,AR47,AS47,AT47,AU47,AV47),2)</f>
        <v>00</v>
      </c>
      <c r="AP48" s="124"/>
      <c r="AQ48" s="124"/>
      <c r="AR48" s="124"/>
      <c r="AS48" s="124"/>
      <c r="AT48" s="124"/>
      <c r="AU48" s="124"/>
      <c r="AV48" s="125"/>
      <c r="AW48" s="123" t="str">
        <f>BIN2HEX(CONCATENATE(AW47,AX47,AY47,AZ47,BA47,BB47,BC47,BD47),2)</f>
        <v>00</v>
      </c>
      <c r="AX48" s="124"/>
      <c r="AY48" s="124"/>
      <c r="AZ48" s="124"/>
      <c r="BA48" s="124"/>
      <c r="BB48" s="124"/>
      <c r="BC48" s="124"/>
      <c r="BD48" s="125"/>
      <c r="BE48" s="123" t="str">
        <f>BIN2HEX(CONCATENATE(BE47,BF47,BG47,BH47,BI47,BJ47,BK47,BL47),2)</f>
        <v>00</v>
      </c>
      <c r="BF48" s="124"/>
      <c r="BG48" s="124"/>
      <c r="BH48" s="124"/>
      <c r="BI48" s="124"/>
      <c r="BJ48" s="124"/>
      <c r="BK48" s="124"/>
      <c r="BL48" s="125"/>
      <c r="BM48" s="123" t="str">
        <f>BIN2HEX(CONCATENATE(BM47,BN47,BO47,BP47,BQ47,BR47,BS47,BT47),2)</f>
        <v>00</v>
      </c>
      <c r="BN48" s="124"/>
      <c r="BO48" s="124"/>
      <c r="BP48" s="124"/>
      <c r="BQ48" s="124"/>
      <c r="BR48" s="124"/>
      <c r="BS48" s="124"/>
      <c r="BT48" s="125"/>
      <c r="BU48" s="123" t="str">
        <f>BIN2HEX(CONCATENATE(BU47,BV47,BW47,BX47,BY47,BZ47,CA47,CB47),2)</f>
        <v>00</v>
      </c>
      <c r="BV48" s="124"/>
      <c r="BW48" s="124"/>
      <c r="BX48" s="124"/>
      <c r="BY48" s="124"/>
      <c r="BZ48" s="124"/>
      <c r="CA48" s="124"/>
      <c r="CB48" s="125"/>
      <c r="CC48" s="123" t="str">
        <f>BIN2HEX(CONCATENATE(CC47,CD47,CE47,CF47,CG47,CH47,CI47,CJ47),2)</f>
        <v>00</v>
      </c>
      <c r="CD48" s="124"/>
      <c r="CE48" s="124"/>
      <c r="CF48" s="124"/>
      <c r="CG48" s="124"/>
      <c r="CH48" s="124"/>
      <c r="CI48" s="124"/>
      <c r="CJ48" s="125"/>
    </row>
    <row r="49" spans="1:88">
      <c r="A49" s="135" t="s">
        <v>20</v>
      </c>
      <c r="B49" s="32">
        <v>0</v>
      </c>
      <c r="C49" s="32">
        <v>0</v>
      </c>
      <c r="D49" s="32">
        <v>0</v>
      </c>
      <c r="E49" s="32">
        <v>0</v>
      </c>
      <c r="F49" s="32">
        <v>0</v>
      </c>
      <c r="G49" s="32">
        <v>0</v>
      </c>
      <c r="H49" s="32">
        <v>0</v>
      </c>
      <c r="I49" s="32">
        <v>0</v>
      </c>
      <c r="J49" s="32">
        <v>0</v>
      </c>
      <c r="K49" s="32">
        <v>0</v>
      </c>
      <c r="L49" s="32">
        <v>0</v>
      </c>
      <c r="M49" s="32">
        <v>0</v>
      </c>
      <c r="N49" s="32">
        <v>0</v>
      </c>
      <c r="O49" s="32">
        <v>0</v>
      </c>
      <c r="P49" s="32">
        <v>0</v>
      </c>
      <c r="Q49" s="32">
        <v>0</v>
      </c>
      <c r="R49" s="32">
        <v>0</v>
      </c>
      <c r="S49" s="32">
        <v>0</v>
      </c>
      <c r="T49" s="32">
        <v>0</v>
      </c>
      <c r="U49" s="32">
        <v>0</v>
      </c>
      <c r="V49" s="32">
        <v>0</v>
      </c>
      <c r="W49" s="32">
        <v>0</v>
      </c>
      <c r="X49" s="32">
        <v>0</v>
      </c>
      <c r="Y49" s="32">
        <v>0</v>
      </c>
      <c r="Z49" s="32">
        <v>0</v>
      </c>
      <c r="AA49" s="32">
        <v>0</v>
      </c>
      <c r="AB49" s="32">
        <v>0</v>
      </c>
      <c r="AC49" s="32">
        <v>0</v>
      </c>
      <c r="AD49" s="32">
        <v>0</v>
      </c>
      <c r="AE49" s="32">
        <v>0</v>
      </c>
      <c r="AF49" s="32">
        <v>0</v>
      </c>
      <c r="AG49" s="32">
        <v>0</v>
      </c>
      <c r="AH49" s="32">
        <v>0</v>
      </c>
      <c r="AI49" s="32">
        <v>0</v>
      </c>
      <c r="AJ49" s="32">
        <v>0</v>
      </c>
      <c r="AK49" s="32">
        <v>0</v>
      </c>
      <c r="AL49" s="32">
        <v>0</v>
      </c>
      <c r="AM49" s="32">
        <v>0</v>
      </c>
      <c r="AN49" s="32">
        <v>0</v>
      </c>
      <c r="AO49" s="32">
        <v>0</v>
      </c>
      <c r="AP49" s="32">
        <v>0</v>
      </c>
      <c r="AQ49" s="32">
        <v>0</v>
      </c>
      <c r="AR49" s="32">
        <v>0</v>
      </c>
      <c r="AS49" s="32">
        <v>0</v>
      </c>
      <c r="AT49" s="32">
        <v>0</v>
      </c>
      <c r="AU49" s="32">
        <v>0</v>
      </c>
      <c r="AV49" s="32">
        <v>0</v>
      </c>
      <c r="AW49" s="32">
        <v>0</v>
      </c>
      <c r="AX49" s="32">
        <v>0</v>
      </c>
      <c r="AY49" s="32">
        <v>0</v>
      </c>
      <c r="AZ49" s="32">
        <v>0</v>
      </c>
      <c r="BA49" s="32">
        <v>0</v>
      </c>
      <c r="BB49" s="32">
        <v>0</v>
      </c>
      <c r="BC49" s="32">
        <v>0</v>
      </c>
      <c r="BD49" s="32">
        <v>0</v>
      </c>
      <c r="BE49" s="32">
        <v>0</v>
      </c>
      <c r="BF49" s="32">
        <v>0</v>
      </c>
      <c r="BG49" s="32">
        <v>0</v>
      </c>
      <c r="BH49" s="32">
        <v>0</v>
      </c>
      <c r="BI49" s="32">
        <v>0</v>
      </c>
      <c r="BJ49" s="32">
        <v>0</v>
      </c>
      <c r="BK49" s="32">
        <v>0</v>
      </c>
      <c r="BL49" s="32">
        <v>0</v>
      </c>
      <c r="BM49" s="32">
        <v>0</v>
      </c>
      <c r="BN49" s="32">
        <v>0</v>
      </c>
      <c r="BO49" s="32">
        <v>0</v>
      </c>
      <c r="BP49" s="32">
        <v>0</v>
      </c>
      <c r="BQ49" s="32">
        <v>0</v>
      </c>
      <c r="BR49" s="32">
        <v>0</v>
      </c>
      <c r="BS49" s="32">
        <v>0</v>
      </c>
      <c r="BT49" s="32">
        <v>0</v>
      </c>
      <c r="BU49" s="32">
        <v>0</v>
      </c>
      <c r="BV49" s="32">
        <v>0</v>
      </c>
      <c r="BW49" s="32">
        <v>0</v>
      </c>
      <c r="BX49" s="32">
        <v>0</v>
      </c>
      <c r="BY49" s="32">
        <v>0</v>
      </c>
      <c r="BZ49" s="32">
        <v>0</v>
      </c>
      <c r="CA49" s="32">
        <v>0</v>
      </c>
      <c r="CB49" s="32">
        <v>0</v>
      </c>
      <c r="CC49" s="32">
        <v>0</v>
      </c>
      <c r="CD49" s="32">
        <v>0</v>
      </c>
      <c r="CE49" s="32">
        <v>0</v>
      </c>
      <c r="CF49" s="32">
        <v>0</v>
      </c>
      <c r="CG49" s="32">
        <v>0</v>
      </c>
      <c r="CH49" s="32">
        <v>0</v>
      </c>
      <c r="CI49" s="32">
        <v>0</v>
      </c>
      <c r="CJ49" s="32">
        <v>0</v>
      </c>
    </row>
    <row r="50" spans="1:88" hidden="1">
      <c r="A50" s="136"/>
      <c r="B50" s="39" t="str">
        <f ca="1">DEC2HEX(B49,INDIRECT("'parameters recipe'!$C"&amp;B$28))</f>
        <v>0</v>
      </c>
      <c r="C50" s="39" t="e">
        <f t="shared" ref="C50:L50" ca="1" si="62">DEC2HEX(C49,INDIRECT("'parameters recipe'!$C"&amp;C$28))</f>
        <v>#NUM!</v>
      </c>
      <c r="D50" s="39" t="str">
        <f t="shared" ca="1" si="62"/>
        <v>0</v>
      </c>
      <c r="E50" s="39" t="e">
        <f t="shared" ca="1" si="62"/>
        <v>#NUM!</v>
      </c>
      <c r="F50" s="39" t="str">
        <f t="shared" ca="1" si="62"/>
        <v>0</v>
      </c>
      <c r="G50" s="39" t="e">
        <f t="shared" ca="1" si="62"/>
        <v>#NUM!</v>
      </c>
      <c r="H50" s="39" t="str">
        <f t="shared" ca="1" si="62"/>
        <v>0</v>
      </c>
      <c r="I50" s="39" t="e">
        <f t="shared" ca="1" si="62"/>
        <v>#NUM!</v>
      </c>
      <c r="J50" s="39" t="str">
        <f t="shared" ca="1" si="62"/>
        <v>0</v>
      </c>
      <c r="K50" s="39" t="e">
        <f t="shared" ca="1" si="62"/>
        <v>#NUM!</v>
      </c>
      <c r="L50" s="39" t="str">
        <f t="shared" ca="1" si="62"/>
        <v>0</v>
      </c>
      <c r="M50" s="123" t="str">
        <f>BIN2HEX(CONCATENATE(M49,N49,O49,P49,Q49,R49,S49,T49),2)</f>
        <v>00</v>
      </c>
      <c r="N50" s="124"/>
      <c r="O50" s="124"/>
      <c r="P50" s="124"/>
      <c r="Q50" s="124"/>
      <c r="R50" s="124"/>
      <c r="S50" s="124"/>
      <c r="T50" s="125"/>
      <c r="U50" s="39" t="e">
        <f t="shared" ref="U50:X50" ca="1" si="63">DEC2HEX(U49,INDIRECT("'parameters recipe'!$C"&amp;U$28))</f>
        <v>#NUM!</v>
      </c>
      <c r="V50" s="39" t="e">
        <f t="shared" ca="1" si="63"/>
        <v>#NUM!</v>
      </c>
      <c r="W50" s="39" t="e">
        <f t="shared" ca="1" si="63"/>
        <v>#NUM!</v>
      </c>
      <c r="X50" s="39" t="e">
        <f t="shared" ca="1" si="63"/>
        <v>#NUM!</v>
      </c>
      <c r="Y50" s="123" t="str">
        <f>BIN2HEX(CONCATENATE(Y49,Z49,AA49,AB49,AC49,AD49,AE49,AF49),2)</f>
        <v>00</v>
      </c>
      <c r="Z50" s="124"/>
      <c r="AA50" s="124"/>
      <c r="AB50" s="124"/>
      <c r="AC50" s="124"/>
      <c r="AD50" s="124"/>
      <c r="AE50" s="124"/>
      <c r="AF50" s="125"/>
      <c r="AG50" s="123" t="str">
        <f>BIN2HEX(CONCATENATE(AG49,AH49,AI49,AJ49,AK49,AL49,AM49,AN49),2)</f>
        <v>00</v>
      </c>
      <c r="AH50" s="124"/>
      <c r="AI50" s="124"/>
      <c r="AJ50" s="124"/>
      <c r="AK50" s="124"/>
      <c r="AL50" s="124"/>
      <c r="AM50" s="124"/>
      <c r="AN50" s="125"/>
      <c r="AO50" s="123" t="str">
        <f>BIN2HEX(CONCATENATE(AO49,AP49,AQ49,AR49,AS49,AT49,AU49,AV49),2)</f>
        <v>00</v>
      </c>
      <c r="AP50" s="124"/>
      <c r="AQ50" s="124"/>
      <c r="AR50" s="124"/>
      <c r="AS50" s="124"/>
      <c r="AT50" s="124"/>
      <c r="AU50" s="124"/>
      <c r="AV50" s="125"/>
      <c r="AW50" s="123" t="str">
        <f>BIN2HEX(CONCATENATE(AW49,AX49,AY49,AZ49,BA49,BB49,BC49,BD49),2)</f>
        <v>00</v>
      </c>
      <c r="AX50" s="124"/>
      <c r="AY50" s="124"/>
      <c r="AZ50" s="124"/>
      <c r="BA50" s="124"/>
      <c r="BB50" s="124"/>
      <c r="BC50" s="124"/>
      <c r="BD50" s="125"/>
      <c r="BE50" s="123" t="str">
        <f>BIN2HEX(CONCATENATE(BE49,BF49,BG49,BH49,BI49,BJ49,BK49,BL49),2)</f>
        <v>00</v>
      </c>
      <c r="BF50" s="124"/>
      <c r="BG50" s="124"/>
      <c r="BH50" s="124"/>
      <c r="BI50" s="124"/>
      <c r="BJ50" s="124"/>
      <c r="BK50" s="124"/>
      <c r="BL50" s="125"/>
      <c r="BM50" s="123" t="str">
        <f>BIN2HEX(CONCATENATE(BM49,BN49,BO49,BP49,BQ49,BR49,BS49,BT49),2)</f>
        <v>00</v>
      </c>
      <c r="BN50" s="124"/>
      <c r="BO50" s="124"/>
      <c r="BP50" s="124"/>
      <c r="BQ50" s="124"/>
      <c r="BR50" s="124"/>
      <c r="BS50" s="124"/>
      <c r="BT50" s="125"/>
      <c r="BU50" s="123" t="str">
        <f>BIN2HEX(CONCATENATE(BU49,BV49,BW49,BX49,BY49,BZ49,CA49,CB49),2)</f>
        <v>00</v>
      </c>
      <c r="BV50" s="124"/>
      <c r="BW50" s="124"/>
      <c r="BX50" s="124"/>
      <c r="BY50" s="124"/>
      <c r="BZ50" s="124"/>
      <c r="CA50" s="124"/>
      <c r="CB50" s="125"/>
      <c r="CC50" s="123" t="str">
        <f>BIN2HEX(CONCATENATE(CC49,CD49,CE49,CF49,CG49,CH49,CI49,CJ49),2)</f>
        <v>00</v>
      </c>
      <c r="CD50" s="124"/>
      <c r="CE50" s="124"/>
      <c r="CF50" s="124"/>
      <c r="CG50" s="124"/>
      <c r="CH50" s="124"/>
      <c r="CI50" s="124"/>
      <c r="CJ50" s="125"/>
    </row>
    <row r="51" spans="1:88">
      <c r="A51" s="135" t="s">
        <v>22</v>
      </c>
      <c r="B51" s="32">
        <v>0</v>
      </c>
      <c r="C51" s="32">
        <v>0</v>
      </c>
      <c r="D51" s="32">
        <v>0</v>
      </c>
      <c r="E51" s="32">
        <v>0</v>
      </c>
      <c r="F51" s="32">
        <v>0</v>
      </c>
      <c r="G51" s="32">
        <v>0</v>
      </c>
      <c r="H51" s="32">
        <v>0</v>
      </c>
      <c r="I51" s="32">
        <v>0</v>
      </c>
      <c r="J51" s="32">
        <v>0</v>
      </c>
      <c r="K51" s="32">
        <v>0</v>
      </c>
      <c r="L51" s="32">
        <v>0</v>
      </c>
      <c r="M51" s="32">
        <v>0</v>
      </c>
      <c r="N51" s="32">
        <v>0</v>
      </c>
      <c r="O51" s="32">
        <v>0</v>
      </c>
      <c r="P51" s="32">
        <v>0</v>
      </c>
      <c r="Q51" s="32">
        <v>0</v>
      </c>
      <c r="R51" s="32">
        <v>0</v>
      </c>
      <c r="S51" s="32">
        <v>0</v>
      </c>
      <c r="T51" s="32">
        <v>0</v>
      </c>
      <c r="U51" s="32">
        <v>0</v>
      </c>
      <c r="V51" s="32">
        <v>0</v>
      </c>
      <c r="W51" s="32">
        <v>0</v>
      </c>
      <c r="X51" s="32">
        <v>0</v>
      </c>
      <c r="Y51" s="32">
        <v>0</v>
      </c>
      <c r="Z51" s="32">
        <v>0</v>
      </c>
      <c r="AA51" s="32">
        <v>0</v>
      </c>
      <c r="AB51" s="32">
        <v>0</v>
      </c>
      <c r="AC51" s="32">
        <v>0</v>
      </c>
      <c r="AD51" s="32">
        <v>0</v>
      </c>
      <c r="AE51" s="32">
        <v>0</v>
      </c>
      <c r="AF51" s="32">
        <v>0</v>
      </c>
      <c r="AG51" s="32">
        <v>0</v>
      </c>
      <c r="AH51" s="32">
        <v>0</v>
      </c>
      <c r="AI51" s="32">
        <v>0</v>
      </c>
      <c r="AJ51" s="32">
        <v>0</v>
      </c>
      <c r="AK51" s="32">
        <v>0</v>
      </c>
      <c r="AL51" s="32">
        <v>0</v>
      </c>
      <c r="AM51" s="32">
        <v>0</v>
      </c>
      <c r="AN51" s="32">
        <v>0</v>
      </c>
      <c r="AO51" s="32">
        <v>0</v>
      </c>
      <c r="AP51" s="32">
        <v>0</v>
      </c>
      <c r="AQ51" s="32">
        <v>0</v>
      </c>
      <c r="AR51" s="32">
        <v>0</v>
      </c>
      <c r="AS51" s="32">
        <v>0</v>
      </c>
      <c r="AT51" s="32">
        <v>0</v>
      </c>
      <c r="AU51" s="32">
        <v>0</v>
      </c>
      <c r="AV51" s="32">
        <v>0</v>
      </c>
      <c r="AW51" s="32">
        <v>0</v>
      </c>
      <c r="AX51" s="32">
        <v>0</v>
      </c>
      <c r="AY51" s="32">
        <v>0</v>
      </c>
      <c r="AZ51" s="32">
        <v>0</v>
      </c>
      <c r="BA51" s="32">
        <v>0</v>
      </c>
      <c r="BB51" s="32">
        <v>0</v>
      </c>
      <c r="BC51" s="32">
        <v>0</v>
      </c>
      <c r="BD51" s="32">
        <v>0</v>
      </c>
      <c r="BE51" s="32">
        <v>0</v>
      </c>
      <c r="BF51" s="32">
        <v>0</v>
      </c>
      <c r="BG51" s="32">
        <v>0</v>
      </c>
      <c r="BH51" s="32">
        <v>0</v>
      </c>
      <c r="BI51" s="32">
        <v>0</v>
      </c>
      <c r="BJ51" s="32">
        <v>0</v>
      </c>
      <c r="BK51" s="32">
        <v>0</v>
      </c>
      <c r="BL51" s="32">
        <v>0</v>
      </c>
      <c r="BM51" s="32">
        <v>0</v>
      </c>
      <c r="BN51" s="32">
        <v>0</v>
      </c>
      <c r="BO51" s="32">
        <v>0</v>
      </c>
      <c r="BP51" s="32">
        <v>0</v>
      </c>
      <c r="BQ51" s="32">
        <v>0</v>
      </c>
      <c r="BR51" s="32">
        <v>0</v>
      </c>
      <c r="BS51" s="32">
        <v>0</v>
      </c>
      <c r="BT51" s="32">
        <v>0</v>
      </c>
      <c r="BU51" s="32">
        <v>0</v>
      </c>
      <c r="BV51" s="32">
        <v>0</v>
      </c>
      <c r="BW51" s="32">
        <v>0</v>
      </c>
      <c r="BX51" s="32">
        <v>0</v>
      </c>
      <c r="BY51" s="32">
        <v>0</v>
      </c>
      <c r="BZ51" s="32">
        <v>0</v>
      </c>
      <c r="CA51" s="32">
        <v>0</v>
      </c>
      <c r="CB51" s="32">
        <v>0</v>
      </c>
      <c r="CC51" s="32">
        <v>0</v>
      </c>
      <c r="CD51" s="32">
        <v>0</v>
      </c>
      <c r="CE51" s="32">
        <v>0</v>
      </c>
      <c r="CF51" s="32">
        <v>0</v>
      </c>
      <c r="CG51" s="32">
        <v>0</v>
      </c>
      <c r="CH51" s="32">
        <v>0</v>
      </c>
      <c r="CI51" s="32">
        <v>0</v>
      </c>
      <c r="CJ51" s="32">
        <v>0</v>
      </c>
    </row>
    <row r="52" spans="1:88" hidden="1">
      <c r="A52" s="136"/>
      <c r="B52" s="39" t="str">
        <f ca="1">DEC2HEX(B51,INDIRECT("'parameters recipe'!$C"&amp;B$28))</f>
        <v>0</v>
      </c>
      <c r="C52" s="39" t="e">
        <f t="shared" ref="C52:L52" ca="1" si="64">DEC2HEX(C51,INDIRECT("'parameters recipe'!$C"&amp;C$28))</f>
        <v>#NUM!</v>
      </c>
      <c r="D52" s="39" t="str">
        <f t="shared" ca="1" si="64"/>
        <v>0</v>
      </c>
      <c r="E52" s="39" t="e">
        <f t="shared" ca="1" si="64"/>
        <v>#NUM!</v>
      </c>
      <c r="F52" s="39" t="str">
        <f t="shared" ca="1" si="64"/>
        <v>0</v>
      </c>
      <c r="G52" s="39" t="e">
        <f t="shared" ca="1" si="64"/>
        <v>#NUM!</v>
      </c>
      <c r="H52" s="39" t="str">
        <f t="shared" ca="1" si="64"/>
        <v>0</v>
      </c>
      <c r="I52" s="39" t="e">
        <f t="shared" ca="1" si="64"/>
        <v>#NUM!</v>
      </c>
      <c r="J52" s="39" t="str">
        <f t="shared" ca="1" si="64"/>
        <v>0</v>
      </c>
      <c r="K52" s="39" t="e">
        <f t="shared" ca="1" si="64"/>
        <v>#NUM!</v>
      </c>
      <c r="L52" s="39" t="str">
        <f t="shared" ca="1" si="64"/>
        <v>0</v>
      </c>
      <c r="M52" s="123" t="str">
        <f>BIN2HEX(CONCATENATE(M51,N51,O51,P51,Q51,R51,S51,T51),2)</f>
        <v>00</v>
      </c>
      <c r="N52" s="124"/>
      <c r="O52" s="124"/>
      <c r="P52" s="124"/>
      <c r="Q52" s="124"/>
      <c r="R52" s="124"/>
      <c r="S52" s="124"/>
      <c r="T52" s="125"/>
      <c r="U52" s="39" t="e">
        <f t="shared" ref="U52:X52" ca="1" si="65">DEC2HEX(U51,INDIRECT("'parameters recipe'!$C"&amp;U$28))</f>
        <v>#NUM!</v>
      </c>
      <c r="V52" s="39" t="e">
        <f t="shared" ca="1" si="65"/>
        <v>#NUM!</v>
      </c>
      <c r="W52" s="39" t="e">
        <f t="shared" ca="1" si="65"/>
        <v>#NUM!</v>
      </c>
      <c r="X52" s="39" t="e">
        <f t="shared" ca="1" si="65"/>
        <v>#NUM!</v>
      </c>
      <c r="Y52" s="123" t="str">
        <f>BIN2HEX(CONCATENATE(Y51,Z51,AA51,AB51,AC51,AD51,AE51,AF51),2)</f>
        <v>00</v>
      </c>
      <c r="Z52" s="124"/>
      <c r="AA52" s="124"/>
      <c r="AB52" s="124"/>
      <c r="AC52" s="124"/>
      <c r="AD52" s="124"/>
      <c r="AE52" s="124"/>
      <c r="AF52" s="125"/>
      <c r="AG52" s="123" t="str">
        <f>BIN2HEX(CONCATENATE(AG51,AH51,AI51,AJ51,AK51,AL51,AM51,AN51),2)</f>
        <v>00</v>
      </c>
      <c r="AH52" s="124"/>
      <c r="AI52" s="124"/>
      <c r="AJ52" s="124"/>
      <c r="AK52" s="124"/>
      <c r="AL52" s="124"/>
      <c r="AM52" s="124"/>
      <c r="AN52" s="125"/>
      <c r="AO52" s="123" t="str">
        <f>BIN2HEX(CONCATENATE(AO51,AP51,AQ51,AR51,AS51,AT51,AU51,AV51),2)</f>
        <v>00</v>
      </c>
      <c r="AP52" s="124"/>
      <c r="AQ52" s="124"/>
      <c r="AR52" s="124"/>
      <c r="AS52" s="124"/>
      <c r="AT52" s="124"/>
      <c r="AU52" s="124"/>
      <c r="AV52" s="125"/>
      <c r="AW52" s="123" t="str">
        <f>BIN2HEX(CONCATENATE(AW51,AX51,AY51,AZ51,BA51,BB51,BC51,BD51),2)</f>
        <v>00</v>
      </c>
      <c r="AX52" s="124"/>
      <c r="AY52" s="124"/>
      <c r="AZ52" s="124"/>
      <c r="BA52" s="124"/>
      <c r="BB52" s="124"/>
      <c r="BC52" s="124"/>
      <c r="BD52" s="125"/>
      <c r="BE52" s="123" t="str">
        <f>BIN2HEX(CONCATENATE(BE51,BF51,BG51,BH51,BI51,BJ51,BK51,BL51),2)</f>
        <v>00</v>
      </c>
      <c r="BF52" s="124"/>
      <c r="BG52" s="124"/>
      <c r="BH52" s="124"/>
      <c r="BI52" s="124"/>
      <c r="BJ52" s="124"/>
      <c r="BK52" s="124"/>
      <c r="BL52" s="125"/>
      <c r="BM52" s="123" t="str">
        <f>BIN2HEX(CONCATENATE(BM51,BN51,BO51,BP51,BQ51,BR51,BS51,BT51),2)</f>
        <v>00</v>
      </c>
      <c r="BN52" s="124"/>
      <c r="BO52" s="124"/>
      <c r="BP52" s="124"/>
      <c r="BQ52" s="124"/>
      <c r="BR52" s="124"/>
      <c r="BS52" s="124"/>
      <c r="BT52" s="125"/>
      <c r="BU52" s="123" t="str">
        <f>BIN2HEX(CONCATENATE(BU51,BV51,BW51,BX51,BY51,BZ51,CA51,CB51),2)</f>
        <v>00</v>
      </c>
      <c r="BV52" s="124"/>
      <c r="BW52" s="124"/>
      <c r="BX52" s="124"/>
      <c r="BY52" s="124"/>
      <c r="BZ52" s="124"/>
      <c r="CA52" s="124"/>
      <c r="CB52" s="125"/>
      <c r="CC52" s="123" t="str">
        <f>BIN2HEX(CONCATENATE(CC51,CD51,CE51,CF51,CG51,CH51,CI51,CJ51),2)</f>
        <v>00</v>
      </c>
      <c r="CD52" s="124"/>
      <c r="CE52" s="124"/>
      <c r="CF52" s="124"/>
      <c r="CG52" s="124"/>
      <c r="CH52" s="124"/>
      <c r="CI52" s="124"/>
      <c r="CJ52" s="125"/>
    </row>
    <row r="53" spans="1:88">
      <c r="A53" s="135" t="s">
        <v>23</v>
      </c>
      <c r="B53" s="32">
        <v>0</v>
      </c>
      <c r="C53" s="32">
        <v>0</v>
      </c>
      <c r="D53" s="32">
        <v>0</v>
      </c>
      <c r="E53" s="32">
        <v>0</v>
      </c>
      <c r="F53" s="32">
        <v>0</v>
      </c>
      <c r="G53" s="32">
        <v>0</v>
      </c>
      <c r="H53" s="32">
        <v>0</v>
      </c>
      <c r="I53" s="32">
        <v>0</v>
      </c>
      <c r="J53" s="32">
        <v>0</v>
      </c>
      <c r="K53" s="32">
        <v>0</v>
      </c>
      <c r="L53" s="32">
        <v>0</v>
      </c>
      <c r="M53" s="32">
        <v>0</v>
      </c>
      <c r="N53" s="32">
        <v>0</v>
      </c>
      <c r="O53" s="32">
        <v>0</v>
      </c>
      <c r="P53" s="32">
        <v>0</v>
      </c>
      <c r="Q53" s="32">
        <v>0</v>
      </c>
      <c r="R53" s="32">
        <v>0</v>
      </c>
      <c r="S53" s="32">
        <v>0</v>
      </c>
      <c r="T53" s="32">
        <v>0</v>
      </c>
      <c r="U53" s="32">
        <v>0</v>
      </c>
      <c r="V53" s="32">
        <v>0</v>
      </c>
      <c r="W53" s="32">
        <v>0</v>
      </c>
      <c r="X53" s="32">
        <v>0</v>
      </c>
      <c r="Y53" s="32">
        <v>0</v>
      </c>
      <c r="Z53" s="32">
        <v>0</v>
      </c>
      <c r="AA53" s="32">
        <v>0</v>
      </c>
      <c r="AB53" s="32">
        <v>0</v>
      </c>
      <c r="AC53" s="32">
        <v>0</v>
      </c>
      <c r="AD53" s="32">
        <v>0</v>
      </c>
      <c r="AE53" s="32">
        <v>0</v>
      </c>
      <c r="AF53" s="32">
        <v>0</v>
      </c>
      <c r="AG53" s="32">
        <v>0</v>
      </c>
      <c r="AH53" s="32">
        <v>0</v>
      </c>
      <c r="AI53" s="32">
        <v>0</v>
      </c>
      <c r="AJ53" s="32">
        <v>0</v>
      </c>
      <c r="AK53" s="32">
        <v>0</v>
      </c>
      <c r="AL53" s="32">
        <v>0</v>
      </c>
      <c r="AM53" s="32">
        <v>0</v>
      </c>
      <c r="AN53" s="32">
        <v>0</v>
      </c>
      <c r="AO53" s="32">
        <v>0</v>
      </c>
      <c r="AP53" s="32">
        <v>0</v>
      </c>
      <c r="AQ53" s="32">
        <v>0</v>
      </c>
      <c r="AR53" s="32">
        <v>0</v>
      </c>
      <c r="AS53" s="32">
        <v>0</v>
      </c>
      <c r="AT53" s="32">
        <v>0</v>
      </c>
      <c r="AU53" s="32">
        <v>0</v>
      </c>
      <c r="AV53" s="32">
        <v>0</v>
      </c>
      <c r="AW53" s="32">
        <v>0</v>
      </c>
      <c r="AX53" s="32">
        <v>0</v>
      </c>
      <c r="AY53" s="32">
        <v>0</v>
      </c>
      <c r="AZ53" s="32">
        <v>0</v>
      </c>
      <c r="BA53" s="32">
        <v>0</v>
      </c>
      <c r="BB53" s="32">
        <v>0</v>
      </c>
      <c r="BC53" s="32">
        <v>0</v>
      </c>
      <c r="BD53" s="32">
        <v>0</v>
      </c>
      <c r="BE53" s="32">
        <v>0</v>
      </c>
      <c r="BF53" s="32">
        <v>0</v>
      </c>
      <c r="BG53" s="32">
        <v>0</v>
      </c>
      <c r="BH53" s="32">
        <v>0</v>
      </c>
      <c r="BI53" s="32">
        <v>0</v>
      </c>
      <c r="BJ53" s="32">
        <v>0</v>
      </c>
      <c r="BK53" s="32">
        <v>0</v>
      </c>
      <c r="BL53" s="32">
        <v>0</v>
      </c>
      <c r="BM53" s="32">
        <v>0</v>
      </c>
      <c r="BN53" s="32">
        <v>0</v>
      </c>
      <c r="BO53" s="32">
        <v>0</v>
      </c>
      <c r="BP53" s="32">
        <v>0</v>
      </c>
      <c r="BQ53" s="32">
        <v>0</v>
      </c>
      <c r="BR53" s="32">
        <v>0</v>
      </c>
      <c r="BS53" s="32">
        <v>0</v>
      </c>
      <c r="BT53" s="32">
        <v>0</v>
      </c>
      <c r="BU53" s="32">
        <v>0</v>
      </c>
      <c r="BV53" s="32">
        <v>0</v>
      </c>
      <c r="BW53" s="32">
        <v>0</v>
      </c>
      <c r="BX53" s="32">
        <v>0</v>
      </c>
      <c r="BY53" s="32">
        <v>0</v>
      </c>
      <c r="BZ53" s="32">
        <v>0</v>
      </c>
      <c r="CA53" s="32">
        <v>0</v>
      </c>
      <c r="CB53" s="32">
        <v>0</v>
      </c>
      <c r="CC53" s="32">
        <v>0</v>
      </c>
      <c r="CD53" s="32">
        <v>0</v>
      </c>
      <c r="CE53" s="32">
        <v>0</v>
      </c>
      <c r="CF53" s="32">
        <v>0</v>
      </c>
      <c r="CG53" s="32">
        <v>0</v>
      </c>
      <c r="CH53" s="32">
        <v>0</v>
      </c>
      <c r="CI53" s="32">
        <v>0</v>
      </c>
      <c r="CJ53" s="32">
        <v>0</v>
      </c>
    </row>
    <row r="54" spans="1:88" hidden="1">
      <c r="A54" s="136"/>
      <c r="B54" s="39" t="str">
        <f ca="1">DEC2HEX(B53,INDIRECT("'parameters recipe'!$C"&amp;B$28))</f>
        <v>0</v>
      </c>
      <c r="C54" s="39" t="e">
        <f t="shared" ref="C54:L54" ca="1" si="66">DEC2HEX(C53,INDIRECT("'parameters recipe'!$C"&amp;C$28))</f>
        <v>#NUM!</v>
      </c>
      <c r="D54" s="39" t="str">
        <f t="shared" ca="1" si="66"/>
        <v>0</v>
      </c>
      <c r="E54" s="39" t="e">
        <f t="shared" ca="1" si="66"/>
        <v>#NUM!</v>
      </c>
      <c r="F54" s="39" t="str">
        <f t="shared" ca="1" si="66"/>
        <v>0</v>
      </c>
      <c r="G54" s="39" t="e">
        <f t="shared" ca="1" si="66"/>
        <v>#NUM!</v>
      </c>
      <c r="H54" s="39" t="str">
        <f t="shared" ca="1" si="66"/>
        <v>0</v>
      </c>
      <c r="I54" s="39" t="e">
        <f t="shared" ca="1" si="66"/>
        <v>#NUM!</v>
      </c>
      <c r="J54" s="39" t="str">
        <f t="shared" ca="1" si="66"/>
        <v>0</v>
      </c>
      <c r="K54" s="39" t="e">
        <f t="shared" ca="1" si="66"/>
        <v>#NUM!</v>
      </c>
      <c r="L54" s="39" t="str">
        <f t="shared" ca="1" si="66"/>
        <v>0</v>
      </c>
      <c r="M54" s="123" t="str">
        <f>BIN2HEX(CONCATENATE(M53,N53,O53,P53,Q53,R53,S53,T53),2)</f>
        <v>00</v>
      </c>
      <c r="N54" s="124"/>
      <c r="O54" s="124"/>
      <c r="P54" s="124"/>
      <c r="Q54" s="124"/>
      <c r="R54" s="124"/>
      <c r="S54" s="124"/>
      <c r="T54" s="125"/>
      <c r="U54" s="39" t="e">
        <f t="shared" ref="U54:X54" ca="1" si="67">DEC2HEX(U53,INDIRECT("'parameters recipe'!$C"&amp;U$28))</f>
        <v>#NUM!</v>
      </c>
      <c r="V54" s="39" t="e">
        <f t="shared" ca="1" si="67"/>
        <v>#NUM!</v>
      </c>
      <c r="W54" s="39" t="e">
        <f t="shared" ca="1" si="67"/>
        <v>#NUM!</v>
      </c>
      <c r="X54" s="39" t="e">
        <f t="shared" ca="1" si="67"/>
        <v>#NUM!</v>
      </c>
      <c r="Y54" s="123" t="str">
        <f>BIN2HEX(CONCATENATE(Y53,Z53,AA53,AB53,AC53,AD53,AE53,AF53),2)</f>
        <v>00</v>
      </c>
      <c r="Z54" s="124"/>
      <c r="AA54" s="124"/>
      <c r="AB54" s="124"/>
      <c r="AC54" s="124"/>
      <c r="AD54" s="124"/>
      <c r="AE54" s="124"/>
      <c r="AF54" s="125"/>
      <c r="AG54" s="123" t="str">
        <f>BIN2HEX(CONCATENATE(AG53,AH53,AI53,AJ53,AK53,AL53,AM53,AN53),2)</f>
        <v>00</v>
      </c>
      <c r="AH54" s="124"/>
      <c r="AI54" s="124"/>
      <c r="AJ54" s="124"/>
      <c r="AK54" s="124"/>
      <c r="AL54" s="124"/>
      <c r="AM54" s="124"/>
      <c r="AN54" s="125"/>
      <c r="AO54" s="123" t="str">
        <f>BIN2HEX(CONCATENATE(AO53,AP53,AQ53,AR53,AS53,AT53,AU53,AV53),2)</f>
        <v>00</v>
      </c>
      <c r="AP54" s="124"/>
      <c r="AQ54" s="124"/>
      <c r="AR54" s="124"/>
      <c r="AS54" s="124"/>
      <c r="AT54" s="124"/>
      <c r="AU54" s="124"/>
      <c r="AV54" s="125"/>
      <c r="AW54" s="123" t="str">
        <f>BIN2HEX(CONCATENATE(AW53,AX53,AY53,AZ53,BA53,BB53,BC53,BD53),2)</f>
        <v>00</v>
      </c>
      <c r="AX54" s="124"/>
      <c r="AY54" s="124"/>
      <c r="AZ54" s="124"/>
      <c r="BA54" s="124"/>
      <c r="BB54" s="124"/>
      <c r="BC54" s="124"/>
      <c r="BD54" s="125"/>
      <c r="BE54" s="123" t="str">
        <f>BIN2HEX(CONCATENATE(BE53,BF53,BG53,BH53,BI53,BJ53,BK53,BL53),2)</f>
        <v>00</v>
      </c>
      <c r="BF54" s="124"/>
      <c r="BG54" s="124"/>
      <c r="BH54" s="124"/>
      <c r="BI54" s="124"/>
      <c r="BJ54" s="124"/>
      <c r="BK54" s="124"/>
      <c r="BL54" s="125"/>
      <c r="BM54" s="123" t="str">
        <f>BIN2HEX(CONCATENATE(BM53,BN53,BO53,BP53,BQ53,BR53,BS53,BT53),2)</f>
        <v>00</v>
      </c>
      <c r="BN54" s="124"/>
      <c r="BO54" s="124"/>
      <c r="BP54" s="124"/>
      <c r="BQ54" s="124"/>
      <c r="BR54" s="124"/>
      <c r="BS54" s="124"/>
      <c r="BT54" s="125"/>
      <c r="BU54" s="123" t="str">
        <f>BIN2HEX(CONCATENATE(BU53,BV53,BW53,BX53,BY53,BZ53,CA53,CB53),2)</f>
        <v>00</v>
      </c>
      <c r="BV54" s="124"/>
      <c r="BW54" s="124"/>
      <c r="BX54" s="124"/>
      <c r="BY54" s="124"/>
      <c r="BZ54" s="124"/>
      <c r="CA54" s="124"/>
      <c r="CB54" s="125"/>
      <c r="CC54" s="123" t="str">
        <f>BIN2HEX(CONCATENATE(CC53,CD53,CE53,CF53,CG53,CH53,CI53,CJ53),2)</f>
        <v>00</v>
      </c>
      <c r="CD54" s="124"/>
      <c r="CE54" s="124"/>
      <c r="CF54" s="124"/>
      <c r="CG54" s="124"/>
      <c r="CH54" s="124"/>
      <c r="CI54" s="124"/>
      <c r="CJ54" s="125"/>
    </row>
    <row r="55" spans="1:88">
      <c r="A55" s="135" t="s">
        <v>24</v>
      </c>
      <c r="B55" s="32">
        <v>0</v>
      </c>
      <c r="C55" s="32">
        <v>0</v>
      </c>
      <c r="D55" s="32">
        <v>0</v>
      </c>
      <c r="E55" s="32">
        <v>0</v>
      </c>
      <c r="F55" s="32">
        <v>0</v>
      </c>
      <c r="G55" s="32">
        <v>0</v>
      </c>
      <c r="H55" s="32">
        <v>0</v>
      </c>
      <c r="I55" s="32">
        <v>0</v>
      </c>
      <c r="J55" s="32">
        <v>0</v>
      </c>
      <c r="K55" s="32">
        <v>0</v>
      </c>
      <c r="L55" s="32">
        <v>0</v>
      </c>
      <c r="M55" s="32">
        <v>0</v>
      </c>
      <c r="N55" s="32">
        <v>0</v>
      </c>
      <c r="O55" s="32">
        <v>0</v>
      </c>
      <c r="P55" s="32">
        <v>0</v>
      </c>
      <c r="Q55" s="32">
        <v>0</v>
      </c>
      <c r="R55" s="32">
        <v>0</v>
      </c>
      <c r="S55" s="32">
        <v>0</v>
      </c>
      <c r="T55" s="32">
        <v>0</v>
      </c>
      <c r="U55" s="32">
        <v>0</v>
      </c>
      <c r="V55" s="32">
        <v>0</v>
      </c>
      <c r="W55" s="32">
        <v>0</v>
      </c>
      <c r="X55" s="32">
        <v>0</v>
      </c>
      <c r="Y55" s="32">
        <v>0</v>
      </c>
      <c r="Z55" s="32">
        <v>0</v>
      </c>
      <c r="AA55" s="32">
        <v>0</v>
      </c>
      <c r="AB55" s="32">
        <v>0</v>
      </c>
      <c r="AC55" s="32">
        <v>0</v>
      </c>
      <c r="AD55" s="32">
        <v>0</v>
      </c>
      <c r="AE55" s="32">
        <v>0</v>
      </c>
      <c r="AF55" s="32">
        <v>0</v>
      </c>
      <c r="AG55" s="32">
        <v>0</v>
      </c>
      <c r="AH55" s="32">
        <v>0</v>
      </c>
      <c r="AI55" s="32">
        <v>0</v>
      </c>
      <c r="AJ55" s="32">
        <v>0</v>
      </c>
      <c r="AK55" s="32">
        <v>0</v>
      </c>
      <c r="AL55" s="32">
        <v>0</v>
      </c>
      <c r="AM55" s="32">
        <v>0</v>
      </c>
      <c r="AN55" s="32">
        <v>0</v>
      </c>
      <c r="AO55" s="32">
        <v>0</v>
      </c>
      <c r="AP55" s="32">
        <v>0</v>
      </c>
      <c r="AQ55" s="32">
        <v>0</v>
      </c>
      <c r="AR55" s="32">
        <v>0</v>
      </c>
      <c r="AS55" s="32">
        <v>0</v>
      </c>
      <c r="AT55" s="32">
        <v>0</v>
      </c>
      <c r="AU55" s="32">
        <v>0</v>
      </c>
      <c r="AV55" s="32">
        <v>0</v>
      </c>
      <c r="AW55" s="32">
        <v>0</v>
      </c>
      <c r="AX55" s="32">
        <v>0</v>
      </c>
      <c r="AY55" s="32">
        <v>0</v>
      </c>
      <c r="AZ55" s="32">
        <v>0</v>
      </c>
      <c r="BA55" s="32">
        <v>0</v>
      </c>
      <c r="BB55" s="32">
        <v>0</v>
      </c>
      <c r="BC55" s="32">
        <v>0</v>
      </c>
      <c r="BD55" s="32">
        <v>0</v>
      </c>
      <c r="BE55" s="32">
        <v>0</v>
      </c>
      <c r="BF55" s="32">
        <v>0</v>
      </c>
      <c r="BG55" s="32">
        <v>0</v>
      </c>
      <c r="BH55" s="32">
        <v>0</v>
      </c>
      <c r="BI55" s="32">
        <v>0</v>
      </c>
      <c r="BJ55" s="32">
        <v>0</v>
      </c>
      <c r="BK55" s="32">
        <v>0</v>
      </c>
      <c r="BL55" s="32">
        <v>0</v>
      </c>
      <c r="BM55" s="32">
        <v>0</v>
      </c>
      <c r="BN55" s="32">
        <v>0</v>
      </c>
      <c r="BO55" s="32">
        <v>0</v>
      </c>
      <c r="BP55" s="32">
        <v>0</v>
      </c>
      <c r="BQ55" s="32">
        <v>0</v>
      </c>
      <c r="BR55" s="32">
        <v>0</v>
      </c>
      <c r="BS55" s="32">
        <v>0</v>
      </c>
      <c r="BT55" s="32">
        <v>0</v>
      </c>
      <c r="BU55" s="32">
        <v>0</v>
      </c>
      <c r="BV55" s="32">
        <v>0</v>
      </c>
      <c r="BW55" s="32">
        <v>0</v>
      </c>
      <c r="BX55" s="32">
        <v>0</v>
      </c>
      <c r="BY55" s="32">
        <v>0</v>
      </c>
      <c r="BZ55" s="32">
        <v>0</v>
      </c>
      <c r="CA55" s="32">
        <v>0</v>
      </c>
      <c r="CB55" s="32">
        <v>0</v>
      </c>
      <c r="CC55" s="32">
        <v>0</v>
      </c>
      <c r="CD55" s="32">
        <v>0</v>
      </c>
      <c r="CE55" s="32">
        <v>0</v>
      </c>
      <c r="CF55" s="32">
        <v>0</v>
      </c>
      <c r="CG55" s="32">
        <v>0</v>
      </c>
      <c r="CH55" s="32">
        <v>0</v>
      </c>
      <c r="CI55" s="32">
        <v>0</v>
      </c>
      <c r="CJ55" s="32">
        <v>0</v>
      </c>
    </row>
    <row r="56" spans="1:88" hidden="1">
      <c r="A56" s="136"/>
      <c r="B56" s="39" t="str">
        <f ca="1">DEC2HEX(B55,INDIRECT("'parameters recipe'!$C"&amp;B$28))</f>
        <v>0</v>
      </c>
      <c r="C56" s="39" t="e">
        <f t="shared" ref="C56:L56" ca="1" si="68">DEC2HEX(C55,INDIRECT("'parameters recipe'!$C"&amp;C$28))</f>
        <v>#NUM!</v>
      </c>
      <c r="D56" s="39" t="str">
        <f t="shared" ca="1" si="68"/>
        <v>0</v>
      </c>
      <c r="E56" s="39" t="e">
        <f t="shared" ca="1" si="68"/>
        <v>#NUM!</v>
      </c>
      <c r="F56" s="39" t="str">
        <f t="shared" ca="1" si="68"/>
        <v>0</v>
      </c>
      <c r="G56" s="39" t="e">
        <f t="shared" ca="1" si="68"/>
        <v>#NUM!</v>
      </c>
      <c r="H56" s="39" t="str">
        <f t="shared" ca="1" si="68"/>
        <v>0</v>
      </c>
      <c r="I56" s="39" t="e">
        <f t="shared" ca="1" si="68"/>
        <v>#NUM!</v>
      </c>
      <c r="J56" s="39" t="str">
        <f t="shared" ca="1" si="68"/>
        <v>0</v>
      </c>
      <c r="K56" s="39" t="e">
        <f t="shared" ca="1" si="68"/>
        <v>#NUM!</v>
      </c>
      <c r="L56" s="39" t="str">
        <f t="shared" ca="1" si="68"/>
        <v>0</v>
      </c>
      <c r="M56" s="123" t="str">
        <f>BIN2HEX(CONCATENATE(M55,N55,O55,P55,Q55,R55,S55,T55),2)</f>
        <v>00</v>
      </c>
      <c r="N56" s="124"/>
      <c r="O56" s="124"/>
      <c r="P56" s="124"/>
      <c r="Q56" s="124"/>
      <c r="R56" s="124"/>
      <c r="S56" s="124"/>
      <c r="T56" s="125"/>
      <c r="U56" s="39" t="e">
        <f t="shared" ref="U56:X56" ca="1" si="69">DEC2HEX(U55,INDIRECT("'parameters recipe'!$C"&amp;U$28))</f>
        <v>#NUM!</v>
      </c>
      <c r="V56" s="39" t="e">
        <f t="shared" ca="1" si="69"/>
        <v>#NUM!</v>
      </c>
      <c r="W56" s="39" t="e">
        <f t="shared" ca="1" si="69"/>
        <v>#NUM!</v>
      </c>
      <c r="X56" s="39" t="e">
        <f t="shared" ca="1" si="69"/>
        <v>#NUM!</v>
      </c>
      <c r="Y56" s="123" t="str">
        <f>BIN2HEX(CONCATENATE(Y55,Z55,AA55,AB55,AC55,AD55,AE55,AF55),2)</f>
        <v>00</v>
      </c>
      <c r="Z56" s="124"/>
      <c r="AA56" s="124"/>
      <c r="AB56" s="124"/>
      <c r="AC56" s="124"/>
      <c r="AD56" s="124"/>
      <c r="AE56" s="124"/>
      <c r="AF56" s="125"/>
      <c r="AG56" s="123" t="str">
        <f>BIN2HEX(CONCATENATE(AG55,AH55,AI55,AJ55,AK55,AL55,AM55,AN55),2)</f>
        <v>00</v>
      </c>
      <c r="AH56" s="124"/>
      <c r="AI56" s="124"/>
      <c r="AJ56" s="124"/>
      <c r="AK56" s="124"/>
      <c r="AL56" s="124"/>
      <c r="AM56" s="124"/>
      <c r="AN56" s="125"/>
      <c r="AO56" s="123" t="str">
        <f>BIN2HEX(CONCATENATE(AO55,AP55,AQ55,AR55,AS55,AT55,AU55,AV55),2)</f>
        <v>00</v>
      </c>
      <c r="AP56" s="124"/>
      <c r="AQ56" s="124"/>
      <c r="AR56" s="124"/>
      <c r="AS56" s="124"/>
      <c r="AT56" s="124"/>
      <c r="AU56" s="124"/>
      <c r="AV56" s="125"/>
      <c r="AW56" s="123" t="str">
        <f>BIN2HEX(CONCATENATE(AW55,AX55,AY55,AZ55,BA55,BB55,BC55,BD55),2)</f>
        <v>00</v>
      </c>
      <c r="AX56" s="124"/>
      <c r="AY56" s="124"/>
      <c r="AZ56" s="124"/>
      <c r="BA56" s="124"/>
      <c r="BB56" s="124"/>
      <c r="BC56" s="124"/>
      <c r="BD56" s="125"/>
      <c r="BE56" s="123" t="str">
        <f>BIN2HEX(CONCATENATE(BE55,BF55,BG55,BH55,BI55,BJ55,BK55,BL55),2)</f>
        <v>00</v>
      </c>
      <c r="BF56" s="124"/>
      <c r="BG56" s="124"/>
      <c r="BH56" s="124"/>
      <c r="BI56" s="124"/>
      <c r="BJ56" s="124"/>
      <c r="BK56" s="124"/>
      <c r="BL56" s="125"/>
      <c r="BM56" s="123" t="str">
        <f>BIN2HEX(CONCATENATE(BM55,BN55,BO55,BP55,BQ55,BR55,BS55,BT55),2)</f>
        <v>00</v>
      </c>
      <c r="BN56" s="124"/>
      <c r="BO56" s="124"/>
      <c r="BP56" s="124"/>
      <c r="BQ56" s="124"/>
      <c r="BR56" s="124"/>
      <c r="BS56" s="124"/>
      <c r="BT56" s="125"/>
      <c r="BU56" s="123" t="str">
        <f>BIN2HEX(CONCATENATE(BU55,BV55,BW55,BX55,BY55,BZ55,CA55,CB55),2)</f>
        <v>00</v>
      </c>
      <c r="BV56" s="124"/>
      <c r="BW56" s="124"/>
      <c r="BX56" s="124"/>
      <c r="BY56" s="124"/>
      <c r="BZ56" s="124"/>
      <c r="CA56" s="124"/>
      <c r="CB56" s="125"/>
      <c r="CC56" s="123" t="str">
        <f>BIN2HEX(CONCATENATE(CC55,CD55,CE55,CF55,CG55,CH55,CI55,CJ55),2)</f>
        <v>00</v>
      </c>
      <c r="CD56" s="124"/>
      <c r="CE56" s="124"/>
      <c r="CF56" s="124"/>
      <c r="CG56" s="124"/>
      <c r="CH56" s="124"/>
      <c r="CI56" s="124"/>
      <c r="CJ56" s="125"/>
    </row>
    <row r="57" spans="1:88">
      <c r="A57" s="135" t="s">
        <v>25</v>
      </c>
      <c r="B57" s="32">
        <v>0</v>
      </c>
      <c r="C57" s="32">
        <v>0</v>
      </c>
      <c r="D57" s="32">
        <v>0</v>
      </c>
      <c r="E57" s="32">
        <v>0</v>
      </c>
      <c r="F57" s="32">
        <v>0</v>
      </c>
      <c r="G57" s="32">
        <v>0</v>
      </c>
      <c r="H57" s="32">
        <v>0</v>
      </c>
      <c r="I57" s="32">
        <v>0</v>
      </c>
      <c r="J57" s="32">
        <v>0</v>
      </c>
      <c r="K57" s="32">
        <v>0</v>
      </c>
      <c r="L57" s="32">
        <v>0</v>
      </c>
      <c r="M57" s="32">
        <v>0</v>
      </c>
      <c r="N57" s="32">
        <v>0</v>
      </c>
      <c r="O57" s="32">
        <v>0</v>
      </c>
      <c r="P57" s="32">
        <v>0</v>
      </c>
      <c r="Q57" s="32">
        <v>0</v>
      </c>
      <c r="R57" s="32">
        <v>0</v>
      </c>
      <c r="S57" s="32">
        <v>0</v>
      </c>
      <c r="T57" s="32">
        <v>0</v>
      </c>
      <c r="U57" s="32">
        <v>0</v>
      </c>
      <c r="V57" s="32">
        <v>0</v>
      </c>
      <c r="W57" s="32">
        <v>0</v>
      </c>
      <c r="X57" s="32">
        <v>0</v>
      </c>
      <c r="Y57" s="32">
        <v>0</v>
      </c>
      <c r="Z57" s="32">
        <v>0</v>
      </c>
      <c r="AA57" s="32">
        <v>0</v>
      </c>
      <c r="AB57" s="32">
        <v>0</v>
      </c>
      <c r="AC57" s="32">
        <v>0</v>
      </c>
      <c r="AD57" s="32">
        <v>0</v>
      </c>
      <c r="AE57" s="32">
        <v>0</v>
      </c>
      <c r="AF57" s="32">
        <v>0</v>
      </c>
      <c r="AG57" s="32">
        <v>0</v>
      </c>
      <c r="AH57" s="32">
        <v>0</v>
      </c>
      <c r="AI57" s="32">
        <v>0</v>
      </c>
      <c r="AJ57" s="32">
        <v>0</v>
      </c>
      <c r="AK57" s="32">
        <v>0</v>
      </c>
      <c r="AL57" s="32">
        <v>0</v>
      </c>
      <c r="AM57" s="32">
        <v>0</v>
      </c>
      <c r="AN57" s="32">
        <v>0</v>
      </c>
      <c r="AO57" s="32">
        <v>0</v>
      </c>
      <c r="AP57" s="32">
        <v>0</v>
      </c>
      <c r="AQ57" s="32">
        <v>0</v>
      </c>
      <c r="AR57" s="32">
        <v>0</v>
      </c>
      <c r="AS57" s="32">
        <v>0</v>
      </c>
      <c r="AT57" s="32">
        <v>0</v>
      </c>
      <c r="AU57" s="32">
        <v>0</v>
      </c>
      <c r="AV57" s="32">
        <v>0</v>
      </c>
      <c r="AW57" s="32">
        <v>0</v>
      </c>
      <c r="AX57" s="32">
        <v>0</v>
      </c>
      <c r="AY57" s="32">
        <v>0</v>
      </c>
      <c r="AZ57" s="32">
        <v>0</v>
      </c>
      <c r="BA57" s="32">
        <v>0</v>
      </c>
      <c r="BB57" s="32">
        <v>0</v>
      </c>
      <c r="BC57" s="32">
        <v>0</v>
      </c>
      <c r="BD57" s="32">
        <v>0</v>
      </c>
      <c r="BE57" s="32">
        <v>0</v>
      </c>
      <c r="BF57" s="32">
        <v>0</v>
      </c>
      <c r="BG57" s="32">
        <v>0</v>
      </c>
      <c r="BH57" s="32">
        <v>0</v>
      </c>
      <c r="BI57" s="32">
        <v>0</v>
      </c>
      <c r="BJ57" s="32">
        <v>0</v>
      </c>
      <c r="BK57" s="32">
        <v>0</v>
      </c>
      <c r="BL57" s="32">
        <v>0</v>
      </c>
      <c r="BM57" s="32">
        <v>0</v>
      </c>
      <c r="BN57" s="32">
        <v>0</v>
      </c>
      <c r="BO57" s="32">
        <v>0</v>
      </c>
      <c r="BP57" s="32">
        <v>0</v>
      </c>
      <c r="BQ57" s="32">
        <v>0</v>
      </c>
      <c r="BR57" s="32">
        <v>0</v>
      </c>
      <c r="BS57" s="32">
        <v>0</v>
      </c>
      <c r="BT57" s="32">
        <v>0</v>
      </c>
      <c r="BU57" s="32">
        <v>0</v>
      </c>
      <c r="BV57" s="32">
        <v>0</v>
      </c>
      <c r="BW57" s="32">
        <v>0</v>
      </c>
      <c r="BX57" s="32">
        <v>0</v>
      </c>
      <c r="BY57" s="32">
        <v>0</v>
      </c>
      <c r="BZ57" s="32">
        <v>0</v>
      </c>
      <c r="CA57" s="32">
        <v>0</v>
      </c>
      <c r="CB57" s="32">
        <v>0</v>
      </c>
      <c r="CC57" s="32">
        <v>0</v>
      </c>
      <c r="CD57" s="32">
        <v>0</v>
      </c>
      <c r="CE57" s="32">
        <v>0</v>
      </c>
      <c r="CF57" s="32">
        <v>0</v>
      </c>
      <c r="CG57" s="32">
        <v>0</v>
      </c>
      <c r="CH57" s="32">
        <v>0</v>
      </c>
      <c r="CI57" s="32">
        <v>0</v>
      </c>
      <c r="CJ57" s="32">
        <v>0</v>
      </c>
    </row>
    <row r="58" spans="1:88" hidden="1">
      <c r="A58" s="136"/>
      <c r="B58" s="39" t="str">
        <f ca="1">DEC2HEX(B57,INDIRECT("'parameters recipe'!$C"&amp;B$28))</f>
        <v>0</v>
      </c>
      <c r="C58" s="39" t="e">
        <f t="shared" ref="C58:L58" ca="1" si="70">DEC2HEX(C57,INDIRECT("'parameters recipe'!$C"&amp;C$28))</f>
        <v>#NUM!</v>
      </c>
      <c r="D58" s="39" t="str">
        <f t="shared" ca="1" si="70"/>
        <v>0</v>
      </c>
      <c r="E58" s="39" t="e">
        <f t="shared" ca="1" si="70"/>
        <v>#NUM!</v>
      </c>
      <c r="F58" s="39" t="str">
        <f t="shared" ca="1" si="70"/>
        <v>0</v>
      </c>
      <c r="G58" s="39" t="e">
        <f t="shared" ca="1" si="70"/>
        <v>#NUM!</v>
      </c>
      <c r="H58" s="39" t="str">
        <f t="shared" ca="1" si="70"/>
        <v>0</v>
      </c>
      <c r="I58" s="39" t="e">
        <f t="shared" ca="1" si="70"/>
        <v>#NUM!</v>
      </c>
      <c r="J58" s="39" t="str">
        <f t="shared" ca="1" si="70"/>
        <v>0</v>
      </c>
      <c r="K58" s="39" t="e">
        <f t="shared" ca="1" si="70"/>
        <v>#NUM!</v>
      </c>
      <c r="L58" s="39" t="str">
        <f t="shared" ca="1" si="70"/>
        <v>0</v>
      </c>
      <c r="M58" s="123" t="str">
        <f>BIN2HEX(CONCATENATE(M57,N57,O57,P57,Q57,R57,S57,T57),2)</f>
        <v>00</v>
      </c>
      <c r="N58" s="124"/>
      <c r="O58" s="124"/>
      <c r="P58" s="124"/>
      <c r="Q58" s="124"/>
      <c r="R58" s="124"/>
      <c r="S58" s="124"/>
      <c r="T58" s="125"/>
      <c r="U58" s="39" t="e">
        <f t="shared" ref="U58:X58" ca="1" si="71">DEC2HEX(U57,INDIRECT("'parameters recipe'!$C"&amp;U$28))</f>
        <v>#NUM!</v>
      </c>
      <c r="V58" s="39" t="e">
        <f t="shared" ca="1" si="71"/>
        <v>#NUM!</v>
      </c>
      <c r="W58" s="39" t="e">
        <f t="shared" ca="1" si="71"/>
        <v>#NUM!</v>
      </c>
      <c r="X58" s="39" t="e">
        <f t="shared" ca="1" si="71"/>
        <v>#NUM!</v>
      </c>
      <c r="Y58" s="123" t="str">
        <f>BIN2HEX(CONCATENATE(Y57,Z57,AA57,AB57,AC57,AD57,AE57,AF57),2)</f>
        <v>00</v>
      </c>
      <c r="Z58" s="124"/>
      <c r="AA58" s="124"/>
      <c r="AB58" s="124"/>
      <c r="AC58" s="124"/>
      <c r="AD58" s="124"/>
      <c r="AE58" s="124"/>
      <c r="AF58" s="125"/>
      <c r="AG58" s="123" t="str">
        <f>BIN2HEX(CONCATENATE(AG57,AH57,AI57,AJ57,AK57,AL57,AM57,AN57),2)</f>
        <v>00</v>
      </c>
      <c r="AH58" s="124"/>
      <c r="AI58" s="124"/>
      <c r="AJ58" s="124"/>
      <c r="AK58" s="124"/>
      <c r="AL58" s="124"/>
      <c r="AM58" s="124"/>
      <c r="AN58" s="125"/>
      <c r="AO58" s="123" t="str">
        <f>BIN2HEX(CONCATENATE(AO57,AP57,AQ57,AR57,AS57,AT57,AU57,AV57),2)</f>
        <v>00</v>
      </c>
      <c r="AP58" s="124"/>
      <c r="AQ58" s="124"/>
      <c r="AR58" s="124"/>
      <c r="AS58" s="124"/>
      <c r="AT58" s="124"/>
      <c r="AU58" s="124"/>
      <c r="AV58" s="125"/>
      <c r="AW58" s="123" t="str">
        <f>BIN2HEX(CONCATENATE(AW57,AX57,AY57,AZ57,BA57,BB57,BC57,BD57),2)</f>
        <v>00</v>
      </c>
      <c r="AX58" s="124"/>
      <c r="AY58" s="124"/>
      <c r="AZ58" s="124"/>
      <c r="BA58" s="124"/>
      <c r="BB58" s="124"/>
      <c r="BC58" s="124"/>
      <c r="BD58" s="125"/>
      <c r="BE58" s="123" t="str">
        <f>BIN2HEX(CONCATENATE(BE57,BF57,BG57,BH57,BI57,BJ57,BK57,BL57),2)</f>
        <v>00</v>
      </c>
      <c r="BF58" s="124"/>
      <c r="BG58" s="124"/>
      <c r="BH58" s="124"/>
      <c r="BI58" s="124"/>
      <c r="BJ58" s="124"/>
      <c r="BK58" s="124"/>
      <c r="BL58" s="125"/>
      <c r="BM58" s="123" t="str">
        <f>BIN2HEX(CONCATENATE(BM57,BN57,BO57,BP57,BQ57,BR57,BS57,BT57),2)</f>
        <v>00</v>
      </c>
      <c r="BN58" s="124"/>
      <c r="BO58" s="124"/>
      <c r="BP58" s="124"/>
      <c r="BQ58" s="124"/>
      <c r="BR58" s="124"/>
      <c r="BS58" s="124"/>
      <c r="BT58" s="125"/>
      <c r="BU58" s="123" t="str">
        <f>BIN2HEX(CONCATENATE(BU57,BV57,BW57,BX57,BY57,BZ57,CA57,CB57),2)</f>
        <v>00</v>
      </c>
      <c r="BV58" s="124"/>
      <c r="BW58" s="124"/>
      <c r="BX58" s="124"/>
      <c r="BY58" s="124"/>
      <c r="BZ58" s="124"/>
      <c r="CA58" s="124"/>
      <c r="CB58" s="125"/>
      <c r="CC58" s="123" t="str">
        <f>BIN2HEX(CONCATENATE(CC57,CD57,CE57,CF57,CG57,CH57,CI57,CJ57),2)</f>
        <v>00</v>
      </c>
      <c r="CD58" s="124"/>
      <c r="CE58" s="124"/>
      <c r="CF58" s="124"/>
      <c r="CG58" s="124"/>
      <c r="CH58" s="124"/>
      <c r="CI58" s="124"/>
      <c r="CJ58" s="125"/>
    </row>
    <row r="59" spans="1:88">
      <c r="A59" s="135" t="s">
        <v>122</v>
      </c>
      <c r="B59" s="32">
        <v>0</v>
      </c>
      <c r="C59" s="32">
        <v>0</v>
      </c>
      <c r="D59" s="32">
        <v>0</v>
      </c>
      <c r="E59" s="32">
        <v>0</v>
      </c>
      <c r="F59" s="32">
        <v>0</v>
      </c>
      <c r="G59" s="32">
        <v>0</v>
      </c>
      <c r="H59" s="32">
        <v>0</v>
      </c>
      <c r="I59" s="32">
        <v>0</v>
      </c>
      <c r="J59" s="32">
        <v>0</v>
      </c>
      <c r="K59" s="32">
        <v>0</v>
      </c>
      <c r="L59" s="32">
        <v>0</v>
      </c>
      <c r="M59" s="32">
        <v>0</v>
      </c>
      <c r="N59" s="32">
        <v>0</v>
      </c>
      <c r="O59" s="32">
        <v>0</v>
      </c>
      <c r="P59" s="32">
        <v>0</v>
      </c>
      <c r="Q59" s="32">
        <v>0</v>
      </c>
      <c r="R59" s="32">
        <v>0</v>
      </c>
      <c r="S59" s="32">
        <v>0</v>
      </c>
      <c r="T59" s="32">
        <v>0</v>
      </c>
      <c r="U59" s="32">
        <v>0</v>
      </c>
      <c r="V59" s="32">
        <v>0</v>
      </c>
      <c r="W59" s="32">
        <v>0</v>
      </c>
      <c r="X59" s="32">
        <v>0</v>
      </c>
      <c r="Y59" s="32">
        <v>0</v>
      </c>
      <c r="Z59" s="32">
        <v>0</v>
      </c>
      <c r="AA59" s="32">
        <v>0</v>
      </c>
      <c r="AB59" s="32">
        <v>0</v>
      </c>
      <c r="AC59" s="32">
        <v>0</v>
      </c>
      <c r="AD59" s="32">
        <v>0</v>
      </c>
      <c r="AE59" s="32">
        <v>0</v>
      </c>
      <c r="AF59" s="32">
        <v>0</v>
      </c>
      <c r="AG59" s="32">
        <v>0</v>
      </c>
      <c r="AH59" s="32">
        <v>0</v>
      </c>
      <c r="AI59" s="32">
        <v>0</v>
      </c>
      <c r="AJ59" s="32">
        <v>0</v>
      </c>
      <c r="AK59" s="32">
        <v>0</v>
      </c>
      <c r="AL59" s="32">
        <v>0</v>
      </c>
      <c r="AM59" s="32">
        <v>0</v>
      </c>
      <c r="AN59" s="32">
        <v>0</v>
      </c>
      <c r="AO59" s="32">
        <v>0</v>
      </c>
      <c r="AP59" s="32">
        <v>0</v>
      </c>
      <c r="AQ59" s="32">
        <v>0</v>
      </c>
      <c r="AR59" s="32">
        <v>0</v>
      </c>
      <c r="AS59" s="32">
        <v>0</v>
      </c>
      <c r="AT59" s="32">
        <v>0</v>
      </c>
      <c r="AU59" s="32">
        <v>0</v>
      </c>
      <c r="AV59" s="32">
        <v>0</v>
      </c>
      <c r="AW59" s="32">
        <v>0</v>
      </c>
      <c r="AX59" s="32">
        <v>0</v>
      </c>
      <c r="AY59" s="32">
        <v>0</v>
      </c>
      <c r="AZ59" s="32">
        <v>0</v>
      </c>
      <c r="BA59" s="32">
        <v>0</v>
      </c>
      <c r="BB59" s="32">
        <v>0</v>
      </c>
      <c r="BC59" s="32">
        <v>0</v>
      </c>
      <c r="BD59" s="32">
        <v>0</v>
      </c>
      <c r="BE59" s="32">
        <v>0</v>
      </c>
      <c r="BF59" s="32">
        <v>0</v>
      </c>
      <c r="BG59" s="32">
        <v>0</v>
      </c>
      <c r="BH59" s="32">
        <v>0</v>
      </c>
      <c r="BI59" s="32">
        <v>0</v>
      </c>
      <c r="BJ59" s="32">
        <v>0</v>
      </c>
      <c r="BK59" s="32">
        <v>0</v>
      </c>
      <c r="BL59" s="32">
        <v>0</v>
      </c>
      <c r="BM59" s="32">
        <v>0</v>
      </c>
      <c r="BN59" s="32">
        <v>0</v>
      </c>
      <c r="BO59" s="32">
        <v>0</v>
      </c>
      <c r="BP59" s="32">
        <v>0</v>
      </c>
      <c r="BQ59" s="32">
        <v>0</v>
      </c>
      <c r="BR59" s="32">
        <v>0</v>
      </c>
      <c r="BS59" s="32">
        <v>0</v>
      </c>
      <c r="BT59" s="32">
        <v>0</v>
      </c>
      <c r="BU59" s="32">
        <v>0</v>
      </c>
      <c r="BV59" s="32">
        <v>0</v>
      </c>
      <c r="BW59" s="32">
        <v>0</v>
      </c>
      <c r="BX59" s="32">
        <v>0</v>
      </c>
      <c r="BY59" s="32">
        <v>0</v>
      </c>
      <c r="BZ59" s="32">
        <v>0</v>
      </c>
      <c r="CA59" s="32">
        <v>0</v>
      </c>
      <c r="CB59" s="32">
        <v>0</v>
      </c>
      <c r="CC59" s="32">
        <v>0</v>
      </c>
      <c r="CD59" s="32">
        <v>0</v>
      </c>
      <c r="CE59" s="32">
        <v>0</v>
      </c>
      <c r="CF59" s="32">
        <v>0</v>
      </c>
      <c r="CG59" s="32">
        <v>0</v>
      </c>
      <c r="CH59" s="32">
        <v>0</v>
      </c>
      <c r="CI59" s="32">
        <v>0</v>
      </c>
      <c r="CJ59" s="32">
        <v>0</v>
      </c>
    </row>
    <row r="60" spans="1:88" hidden="1">
      <c r="A60" s="136"/>
      <c r="B60" s="39" t="str">
        <f ca="1">DEC2HEX(B59,INDIRECT("'parameters recipe'!$C"&amp;B$28))</f>
        <v>0</v>
      </c>
      <c r="C60" s="39" t="e">
        <f t="shared" ref="C60:L60" ca="1" si="72">DEC2HEX(C59,INDIRECT("'parameters recipe'!$C"&amp;C$28))</f>
        <v>#NUM!</v>
      </c>
      <c r="D60" s="39" t="str">
        <f t="shared" ca="1" si="72"/>
        <v>0</v>
      </c>
      <c r="E60" s="39" t="e">
        <f t="shared" ca="1" si="72"/>
        <v>#NUM!</v>
      </c>
      <c r="F60" s="39" t="str">
        <f t="shared" ca="1" si="72"/>
        <v>0</v>
      </c>
      <c r="G60" s="39" t="e">
        <f t="shared" ca="1" si="72"/>
        <v>#NUM!</v>
      </c>
      <c r="H60" s="39" t="str">
        <f t="shared" ca="1" si="72"/>
        <v>0</v>
      </c>
      <c r="I60" s="39" t="e">
        <f t="shared" ca="1" si="72"/>
        <v>#NUM!</v>
      </c>
      <c r="J60" s="39" t="str">
        <f t="shared" ca="1" si="72"/>
        <v>0</v>
      </c>
      <c r="K60" s="39" t="e">
        <f t="shared" ca="1" si="72"/>
        <v>#NUM!</v>
      </c>
      <c r="L60" s="39" t="str">
        <f t="shared" ca="1" si="72"/>
        <v>0</v>
      </c>
      <c r="M60" s="123" t="str">
        <f>BIN2HEX(CONCATENATE(M59,N59,O59,P59,Q59,R59,S59,T59),2)</f>
        <v>00</v>
      </c>
      <c r="N60" s="124"/>
      <c r="O60" s="124"/>
      <c r="P60" s="124"/>
      <c r="Q60" s="124"/>
      <c r="R60" s="124"/>
      <c r="S60" s="124"/>
      <c r="T60" s="125"/>
      <c r="U60" s="39" t="e">
        <f t="shared" ref="U60:X60" ca="1" si="73">DEC2HEX(U59,INDIRECT("'parameters recipe'!$C"&amp;U$28))</f>
        <v>#NUM!</v>
      </c>
      <c r="V60" s="39" t="e">
        <f t="shared" ca="1" si="73"/>
        <v>#NUM!</v>
      </c>
      <c r="W60" s="39" t="e">
        <f t="shared" ca="1" si="73"/>
        <v>#NUM!</v>
      </c>
      <c r="X60" s="39" t="e">
        <f t="shared" ca="1" si="73"/>
        <v>#NUM!</v>
      </c>
      <c r="Y60" s="123" t="str">
        <f>BIN2HEX(CONCATENATE(Y59,Z59,AA59,AB59,AC59,AD59,AE59,AF59),2)</f>
        <v>00</v>
      </c>
      <c r="Z60" s="124"/>
      <c r="AA60" s="124"/>
      <c r="AB60" s="124"/>
      <c r="AC60" s="124"/>
      <c r="AD60" s="124"/>
      <c r="AE60" s="124"/>
      <c r="AF60" s="125"/>
      <c r="AG60" s="123" t="str">
        <f>BIN2HEX(CONCATENATE(AG59,AH59,AI59,AJ59,AK59,AL59,AM59,AN59),2)</f>
        <v>00</v>
      </c>
      <c r="AH60" s="124"/>
      <c r="AI60" s="124"/>
      <c r="AJ60" s="124"/>
      <c r="AK60" s="124"/>
      <c r="AL60" s="124"/>
      <c r="AM60" s="124"/>
      <c r="AN60" s="125"/>
      <c r="AO60" s="123" t="str">
        <f>BIN2HEX(CONCATENATE(AO59,AP59,AQ59,AR59,AS59,AT59,AU59,AV59),2)</f>
        <v>00</v>
      </c>
      <c r="AP60" s="124"/>
      <c r="AQ60" s="124"/>
      <c r="AR60" s="124"/>
      <c r="AS60" s="124"/>
      <c r="AT60" s="124"/>
      <c r="AU60" s="124"/>
      <c r="AV60" s="125"/>
      <c r="AW60" s="123" t="str">
        <f>BIN2HEX(CONCATENATE(AW59,AX59,AY59,AZ59,BA59,BB59,BC59,BD59),2)</f>
        <v>00</v>
      </c>
      <c r="AX60" s="124"/>
      <c r="AY60" s="124"/>
      <c r="AZ60" s="124"/>
      <c r="BA60" s="124"/>
      <c r="BB60" s="124"/>
      <c r="BC60" s="124"/>
      <c r="BD60" s="125"/>
      <c r="BE60" s="123" t="str">
        <f>BIN2HEX(CONCATENATE(BE59,BF59,BG59,BH59,BI59,BJ59,BK59,BL59),2)</f>
        <v>00</v>
      </c>
      <c r="BF60" s="124"/>
      <c r="BG60" s="124"/>
      <c r="BH60" s="124"/>
      <c r="BI60" s="124"/>
      <c r="BJ60" s="124"/>
      <c r="BK60" s="124"/>
      <c r="BL60" s="125"/>
      <c r="BM60" s="123" t="str">
        <f>BIN2HEX(CONCATENATE(BM59,BN59,BO59,BP59,BQ59,BR59,BS59,BT59),2)</f>
        <v>00</v>
      </c>
      <c r="BN60" s="124"/>
      <c r="BO60" s="124"/>
      <c r="BP60" s="124"/>
      <c r="BQ60" s="124"/>
      <c r="BR60" s="124"/>
      <c r="BS60" s="124"/>
      <c r="BT60" s="125"/>
      <c r="BU60" s="123" t="str">
        <f>BIN2HEX(CONCATENATE(BU59,BV59,BW59,BX59,BY59,BZ59,CA59,CB59),2)</f>
        <v>00</v>
      </c>
      <c r="BV60" s="124"/>
      <c r="BW60" s="124"/>
      <c r="BX60" s="124"/>
      <c r="BY60" s="124"/>
      <c r="BZ60" s="124"/>
      <c r="CA60" s="124"/>
      <c r="CB60" s="125"/>
      <c r="CC60" s="123" t="str">
        <f>BIN2HEX(CONCATENATE(CC59,CD59,CE59,CF59,CG59,CH59,CI59,CJ59),2)</f>
        <v>00</v>
      </c>
      <c r="CD60" s="124"/>
      <c r="CE60" s="124"/>
      <c r="CF60" s="124"/>
      <c r="CG60" s="124"/>
      <c r="CH60" s="124"/>
      <c r="CI60" s="124"/>
      <c r="CJ60" s="125"/>
    </row>
    <row r="63" spans="1:88">
      <c r="A63" s="45"/>
    </row>
  </sheetData>
  <sheetProtection selectLockedCells="1"/>
  <mergeCells count="203">
    <mergeCell ref="BE58:BL58"/>
    <mergeCell ref="BM58:BT58"/>
    <mergeCell ref="BU58:CB58"/>
    <mergeCell ref="CC58:CJ58"/>
    <mergeCell ref="BE60:BL60"/>
    <mergeCell ref="BM60:BT60"/>
    <mergeCell ref="BU60:CB60"/>
    <mergeCell ref="CC60:CJ60"/>
    <mergeCell ref="L6:T6"/>
    <mergeCell ref="L7:T7"/>
    <mergeCell ref="L8:T8"/>
    <mergeCell ref="L9:T9"/>
    <mergeCell ref="L10:T10"/>
    <mergeCell ref="L11:T11"/>
    <mergeCell ref="L12:T12"/>
    <mergeCell ref="L13:T13"/>
    <mergeCell ref="L14:T14"/>
    <mergeCell ref="L15:T15"/>
    <mergeCell ref="L16:T16"/>
    <mergeCell ref="L17:T17"/>
    <mergeCell ref="L18:T18"/>
    <mergeCell ref="L19:T19"/>
    <mergeCell ref="L20:T20"/>
    <mergeCell ref="L21:T21"/>
    <mergeCell ref="BE52:BL52"/>
    <mergeCell ref="BM52:BT52"/>
    <mergeCell ref="BU52:CB52"/>
    <mergeCell ref="CC52:CJ52"/>
    <mergeCell ref="BE54:BL54"/>
    <mergeCell ref="BM54:BT54"/>
    <mergeCell ref="BU54:CB54"/>
    <mergeCell ref="CC54:CJ54"/>
    <mergeCell ref="BE56:BL56"/>
    <mergeCell ref="BM56:BT56"/>
    <mergeCell ref="BU56:CB56"/>
    <mergeCell ref="CC56:CJ56"/>
    <mergeCell ref="BE46:BL46"/>
    <mergeCell ref="BM46:BT46"/>
    <mergeCell ref="BU46:CB46"/>
    <mergeCell ref="CC46:CJ46"/>
    <mergeCell ref="BE48:BL48"/>
    <mergeCell ref="BM48:BT48"/>
    <mergeCell ref="BU48:CB48"/>
    <mergeCell ref="CC48:CJ48"/>
    <mergeCell ref="BE50:BL50"/>
    <mergeCell ref="BM50:BT50"/>
    <mergeCell ref="BU50:CB50"/>
    <mergeCell ref="CC50:CJ50"/>
    <mergeCell ref="BE40:BL40"/>
    <mergeCell ref="BM40:BT40"/>
    <mergeCell ref="BU40:CB40"/>
    <mergeCell ref="CC40:CJ40"/>
    <mergeCell ref="BE42:BL42"/>
    <mergeCell ref="BM42:BT42"/>
    <mergeCell ref="BU42:CB42"/>
    <mergeCell ref="CC42:CJ42"/>
    <mergeCell ref="BE44:BL44"/>
    <mergeCell ref="BM44:BT44"/>
    <mergeCell ref="BU44:CB44"/>
    <mergeCell ref="CC44:CJ44"/>
    <mergeCell ref="BE34:BL34"/>
    <mergeCell ref="BM34:BT34"/>
    <mergeCell ref="BU34:CB34"/>
    <mergeCell ref="CC34:CJ34"/>
    <mergeCell ref="BE36:BL36"/>
    <mergeCell ref="BM36:BT36"/>
    <mergeCell ref="BU36:CB36"/>
    <mergeCell ref="CC36:CJ36"/>
    <mergeCell ref="BE38:BL38"/>
    <mergeCell ref="BM38:BT38"/>
    <mergeCell ref="BU38:CB38"/>
    <mergeCell ref="CC38:CJ38"/>
    <mergeCell ref="BE25:BT25"/>
    <mergeCell ref="BU25:CJ25"/>
    <mergeCell ref="BE30:BL30"/>
    <mergeCell ref="BM30:BT30"/>
    <mergeCell ref="BU30:CB30"/>
    <mergeCell ref="CC30:CJ30"/>
    <mergeCell ref="BE32:BL32"/>
    <mergeCell ref="BM32:BT32"/>
    <mergeCell ref="BU32:CB32"/>
    <mergeCell ref="CC32:CJ32"/>
    <mergeCell ref="A41:A42"/>
    <mergeCell ref="A43:A44"/>
    <mergeCell ref="A45:A46"/>
    <mergeCell ref="A47:A48"/>
    <mergeCell ref="A49:A50"/>
    <mergeCell ref="A51:A52"/>
    <mergeCell ref="A29:A30"/>
    <mergeCell ref="A31:A32"/>
    <mergeCell ref="A33:A34"/>
    <mergeCell ref="A35:A36"/>
    <mergeCell ref="A37:A38"/>
    <mergeCell ref="A39:A40"/>
    <mergeCell ref="A53:A54"/>
    <mergeCell ref="A55:A56"/>
    <mergeCell ref="A57:A58"/>
    <mergeCell ref="AO58:AV58"/>
    <mergeCell ref="AW58:BD58"/>
    <mergeCell ref="M60:T60"/>
    <mergeCell ref="Y60:AF60"/>
    <mergeCell ref="AG60:AN60"/>
    <mergeCell ref="AO60:AV60"/>
    <mergeCell ref="AW60:BD60"/>
    <mergeCell ref="M54:T54"/>
    <mergeCell ref="Y54:AF54"/>
    <mergeCell ref="AG54:AN54"/>
    <mergeCell ref="AO54:AV54"/>
    <mergeCell ref="AW54:BD54"/>
    <mergeCell ref="M56:T56"/>
    <mergeCell ref="Y56:AF56"/>
    <mergeCell ref="AG56:AN56"/>
    <mergeCell ref="AO56:AV56"/>
    <mergeCell ref="AW56:BD56"/>
    <mergeCell ref="M58:T58"/>
    <mergeCell ref="Y58:AF58"/>
    <mergeCell ref="AG58:AN58"/>
    <mergeCell ref="A59:A60"/>
    <mergeCell ref="AO52:AV52"/>
    <mergeCell ref="AW52:BD52"/>
    <mergeCell ref="M46:T46"/>
    <mergeCell ref="Y46:AF46"/>
    <mergeCell ref="AG46:AN46"/>
    <mergeCell ref="AO46:AV46"/>
    <mergeCell ref="AW46:BD46"/>
    <mergeCell ref="M48:T48"/>
    <mergeCell ref="Y48:AF48"/>
    <mergeCell ref="AG48:AN48"/>
    <mergeCell ref="AO48:AV48"/>
    <mergeCell ref="AW48:BD48"/>
    <mergeCell ref="AO50:AV50"/>
    <mergeCell ref="AW50:BD50"/>
    <mergeCell ref="M52:T52"/>
    <mergeCell ref="M50:T50"/>
    <mergeCell ref="Y50:AF50"/>
    <mergeCell ref="AG50:AN50"/>
    <mergeCell ref="Y52:AF52"/>
    <mergeCell ref="AG52:AN52"/>
    <mergeCell ref="AO42:AV42"/>
    <mergeCell ref="AW42:BD42"/>
    <mergeCell ref="M44:T44"/>
    <mergeCell ref="Y44:AF44"/>
    <mergeCell ref="AG44:AN44"/>
    <mergeCell ref="AO44:AV44"/>
    <mergeCell ref="AW44:BD44"/>
    <mergeCell ref="M38:T38"/>
    <mergeCell ref="Y38:AF38"/>
    <mergeCell ref="AG38:AN38"/>
    <mergeCell ref="AO38:AV38"/>
    <mergeCell ref="AW38:BD38"/>
    <mergeCell ref="M40:T40"/>
    <mergeCell ref="Y40:AF40"/>
    <mergeCell ref="AG40:AN40"/>
    <mergeCell ref="AO40:AV40"/>
    <mergeCell ref="AW40:BD40"/>
    <mergeCell ref="M42:T42"/>
    <mergeCell ref="Y42:AF42"/>
    <mergeCell ref="AG42:AN42"/>
    <mergeCell ref="AO36:AV36"/>
    <mergeCell ref="AW36:BD36"/>
    <mergeCell ref="M32:T32"/>
    <mergeCell ref="Y32:AF32"/>
    <mergeCell ref="AG32:AN32"/>
    <mergeCell ref="AO32:AV32"/>
    <mergeCell ref="AW32:BD32"/>
    <mergeCell ref="M34:T34"/>
    <mergeCell ref="Y34:AF34"/>
    <mergeCell ref="AG34:AN34"/>
    <mergeCell ref="AO34:AV34"/>
    <mergeCell ref="AW34:BD34"/>
    <mergeCell ref="Y36:AF36"/>
    <mergeCell ref="AG36:AN36"/>
    <mergeCell ref="M36:T36"/>
    <mergeCell ref="B6:J6"/>
    <mergeCell ref="B7:J7"/>
    <mergeCell ref="B8:J8"/>
    <mergeCell ref="B9:J9"/>
    <mergeCell ref="B10:J10"/>
    <mergeCell ref="B11:J11"/>
    <mergeCell ref="B12:J12"/>
    <mergeCell ref="B13:J13"/>
    <mergeCell ref="B19:J19"/>
    <mergeCell ref="B20:J20"/>
    <mergeCell ref="B21:J21"/>
    <mergeCell ref="B16:J16"/>
    <mergeCell ref="B14:J14"/>
    <mergeCell ref="B15:J15"/>
    <mergeCell ref="AO25:BD25"/>
    <mergeCell ref="M30:T30"/>
    <mergeCell ref="Y30:AF30"/>
    <mergeCell ref="AG30:AN30"/>
    <mergeCell ref="AO30:AV30"/>
    <mergeCell ref="AW30:BD30"/>
    <mergeCell ref="B17:J17"/>
    <mergeCell ref="B18:J18"/>
    <mergeCell ref="B25:E25"/>
    <mergeCell ref="F25:H25"/>
    <mergeCell ref="I25:J25"/>
    <mergeCell ref="K25:L25"/>
    <mergeCell ref="M25:T25"/>
    <mergeCell ref="W25:X25"/>
    <mergeCell ref="Y25:AN25"/>
    <mergeCell ref="B23:T23"/>
  </mergeCells>
  <phoneticPr fontId="3" type="noConversion"/>
  <pageMargins left="0.7" right="0.7" top="0.75" bottom="0.75" header="0.3" footer="0.3"/>
  <pageSetup orientation="portrait" horizontalDpi="200" verticalDpi="20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196F4-FFC4-4FAF-8332-D78E3D43BEAA}">
  <sheetPr codeName="Sheet8"/>
  <dimension ref="A1:BD6"/>
  <sheetViews>
    <sheetView showGridLines="0" zoomScale="130" zoomScaleNormal="130" workbookViewId="0">
      <selection activeCell="B5" sqref="B5:D5"/>
    </sheetView>
  </sheetViews>
  <sheetFormatPr defaultRowHeight="15"/>
  <cols>
    <col min="1" max="1" width="13.85546875" customWidth="1"/>
    <col min="2" max="56" width="6" style="3" customWidth="1"/>
    <col min="57" max="57" width="9" customWidth="1"/>
  </cols>
  <sheetData>
    <row r="1" spans="1:20" s="3" customFormat="1">
      <c r="A1" t="s">
        <v>135</v>
      </c>
      <c r="B1" s="139"/>
      <c r="C1" s="140"/>
      <c r="D1" s="141"/>
    </row>
    <row r="3" spans="1:20">
      <c r="A3" s="48" t="s">
        <v>128</v>
      </c>
      <c r="B3" s="142">
        <v>4</v>
      </c>
      <c r="C3" s="143"/>
      <c r="D3" s="144"/>
      <c r="E3" s="4"/>
      <c r="F3" s="4"/>
      <c r="G3" s="4"/>
      <c r="H3" s="4"/>
      <c r="I3" s="4"/>
      <c r="J3" s="4"/>
      <c r="K3" s="4"/>
      <c r="L3" s="4"/>
      <c r="M3" s="4"/>
      <c r="N3" s="4"/>
      <c r="O3" s="4"/>
      <c r="P3" s="4"/>
      <c r="Q3" s="4"/>
      <c r="R3" s="4"/>
      <c r="S3" s="4"/>
      <c r="T3" s="4"/>
    </row>
    <row r="4" spans="1:20">
      <c r="A4" s="48" t="s">
        <v>134</v>
      </c>
      <c r="B4" s="145">
        <v>2</v>
      </c>
      <c r="C4" s="146"/>
      <c r="D4" s="147"/>
      <c r="F4" s="5"/>
    </row>
    <row r="5" spans="1:20">
      <c r="A5" s="48" t="s">
        <v>139</v>
      </c>
      <c r="B5" s="148" t="str">
        <f>CONCATENATE(DEC2HEX(B3,2),DEC2HEX(B4,2))</f>
        <v>0402</v>
      </c>
      <c r="C5" s="143"/>
      <c r="D5" s="144"/>
    </row>
    <row r="6" spans="1:20">
      <c r="B6" s="2"/>
      <c r="C6" s="36"/>
      <c r="D6" s="4"/>
      <c r="E6" s="4"/>
      <c r="F6" s="37"/>
      <c r="G6" s="4"/>
      <c r="H6" s="37"/>
      <c r="I6" s="4"/>
      <c r="J6" s="4"/>
      <c r="K6" s="4"/>
      <c r="L6" s="4"/>
      <c r="M6" s="4"/>
      <c r="N6" s="4"/>
      <c r="O6" s="4"/>
      <c r="P6" s="4"/>
      <c r="Q6" s="4"/>
      <c r="R6" s="4"/>
      <c r="S6" s="4"/>
      <c r="T6" s="4"/>
    </row>
  </sheetData>
  <sheetProtection selectLockedCells="1"/>
  <mergeCells count="4">
    <mergeCell ref="B1:D1"/>
    <mergeCell ref="B3:D3"/>
    <mergeCell ref="B4:D4"/>
    <mergeCell ref="B5:D5"/>
  </mergeCells>
  <pageMargins left="0.7" right="0.7" top="0.75" bottom="0.75" header="0.3" footer="0.3"/>
  <pageSetup orientation="portrait" horizontalDpi="200" verticalDpi="200" copies="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AC602-9C6A-4512-B3A5-37A6A9002DB3}">
  <sheetPr codeName="Sheet9"/>
  <dimension ref="A1:CJ62"/>
  <sheetViews>
    <sheetView showGridLines="0" zoomScale="85" zoomScaleNormal="85" workbookViewId="0">
      <selection activeCell="AB16" sqref="AB16"/>
    </sheetView>
  </sheetViews>
  <sheetFormatPr defaultRowHeight="15"/>
  <cols>
    <col min="1" max="1" width="12.28515625" customWidth="1"/>
    <col min="2" max="88" width="6" style="3" customWidth="1"/>
    <col min="89" max="89" width="9" customWidth="1"/>
  </cols>
  <sheetData>
    <row r="1" spans="1:22">
      <c r="A1" t="s">
        <v>216</v>
      </c>
      <c r="B1" s="5" t="s">
        <v>217</v>
      </c>
    </row>
    <row r="3" spans="1:22">
      <c r="A3" t="s">
        <v>121</v>
      </c>
    </row>
    <row r="4" spans="1:22">
      <c r="A4" t="s">
        <v>72</v>
      </c>
    </row>
    <row r="6" spans="1:22" ht="28.5" customHeight="1">
      <c r="A6" s="33" t="s">
        <v>113</v>
      </c>
      <c r="B6" s="117" t="s">
        <v>126</v>
      </c>
      <c r="C6" s="118"/>
      <c r="D6" s="118"/>
      <c r="E6" s="118"/>
      <c r="F6" s="118"/>
      <c r="G6" s="118"/>
      <c r="H6" s="118"/>
      <c r="I6" s="118"/>
      <c r="J6" s="119"/>
      <c r="K6" s="35" t="s">
        <v>73</v>
      </c>
      <c r="L6" s="137" t="e">
        <f t="shared" ref="L6:L21" ca="1" si="0">IF(B6&lt;&gt;"",CONCATENATE(INDIRECT("B"&amp;V6),INDIRECT("C"&amp;V6),INDIRECT("D"&amp;V6),INDIRECT("E"&amp;V6),INDIRECT("F"&amp;V6),INDIRECT("G"&amp;V6),INDIRECT("H"&amp;V6),INDIRECT("I"&amp;V6),INDIRECT("J"&amp;V6),INDIRECT("K"&amp;V6),INDIRECT("L"&amp;V6),INDIRECT("M"&amp;V6),INDIRECT("U"&amp;V6),INDIRECT("V"&amp;V6),INDIRECT("W"&amp;V6),INDIRECT("X"&amp;V6),INDIRECT("Y"&amp;V6),INDIRECT("AG"&amp;V6),INDIRECT("AO"&amp;V6),INDIRECT("AW"&amp;V6),,INDIRECT("BE"&amp;V6),INDIRECT("BM"&amp;V6),INDIRECT("BU"&amp;V6),INDIRECT("CC"&amp;V6)),"")</f>
        <v>#NUM!</v>
      </c>
      <c r="M6" s="131"/>
      <c r="N6" s="131"/>
      <c r="O6" s="131"/>
      <c r="P6" s="131"/>
      <c r="Q6" s="131"/>
      <c r="R6" s="131"/>
      <c r="S6" s="131"/>
      <c r="T6" s="131"/>
      <c r="U6" s="132"/>
      <c r="V6" s="41">
        <v>29</v>
      </c>
    </row>
    <row r="7" spans="1:22" ht="28.5" customHeight="1">
      <c r="A7" s="33" t="s">
        <v>11</v>
      </c>
      <c r="B7" s="117" t="s">
        <v>48</v>
      </c>
      <c r="C7" s="118"/>
      <c r="D7" s="118"/>
      <c r="E7" s="118"/>
      <c r="F7" s="118"/>
      <c r="G7" s="118"/>
      <c r="H7" s="118"/>
      <c r="I7" s="118"/>
      <c r="J7" s="119"/>
      <c r="K7" s="35" t="s">
        <v>73</v>
      </c>
      <c r="L7" s="137" t="e">
        <f t="shared" ca="1" si="0"/>
        <v>#NUM!</v>
      </c>
      <c r="M7" s="131"/>
      <c r="N7" s="131"/>
      <c r="O7" s="131"/>
      <c r="P7" s="131"/>
      <c r="Q7" s="131"/>
      <c r="R7" s="131"/>
      <c r="S7" s="131"/>
      <c r="T7" s="131"/>
      <c r="U7" s="132"/>
      <c r="V7" s="41">
        <f>V6+2</f>
        <v>31</v>
      </c>
    </row>
    <row r="8" spans="1:22" ht="28.5" customHeight="1">
      <c r="A8" s="33" t="s">
        <v>12</v>
      </c>
      <c r="B8" s="117" t="s">
        <v>47</v>
      </c>
      <c r="C8" s="118"/>
      <c r="D8" s="118"/>
      <c r="E8" s="118"/>
      <c r="F8" s="118"/>
      <c r="G8" s="118"/>
      <c r="H8" s="118"/>
      <c r="I8" s="118"/>
      <c r="J8" s="119"/>
      <c r="K8" s="35" t="s">
        <v>73</v>
      </c>
      <c r="L8" s="137" t="e">
        <f t="shared" ca="1" si="0"/>
        <v>#NUM!</v>
      </c>
      <c r="M8" s="131"/>
      <c r="N8" s="131"/>
      <c r="O8" s="131"/>
      <c r="P8" s="131"/>
      <c r="Q8" s="131"/>
      <c r="R8" s="131"/>
      <c r="S8" s="131"/>
      <c r="T8" s="131"/>
      <c r="U8" s="132"/>
      <c r="V8" s="41">
        <f t="shared" ref="V8:V21" si="1">V7+2</f>
        <v>33</v>
      </c>
    </row>
    <row r="9" spans="1:22" ht="28.5" customHeight="1">
      <c r="A9" s="33" t="s">
        <v>13</v>
      </c>
      <c r="B9" s="117" t="s">
        <v>49</v>
      </c>
      <c r="C9" s="118"/>
      <c r="D9" s="118"/>
      <c r="E9" s="118"/>
      <c r="F9" s="118"/>
      <c r="G9" s="118"/>
      <c r="H9" s="118"/>
      <c r="I9" s="118"/>
      <c r="J9" s="119"/>
      <c r="K9" s="35" t="s">
        <v>73</v>
      </c>
      <c r="L9" s="137" t="e">
        <f t="shared" ca="1" si="0"/>
        <v>#NUM!</v>
      </c>
      <c r="M9" s="131"/>
      <c r="N9" s="131"/>
      <c r="O9" s="131"/>
      <c r="P9" s="131"/>
      <c r="Q9" s="131"/>
      <c r="R9" s="131"/>
      <c r="S9" s="131"/>
      <c r="T9" s="131"/>
      <c r="U9" s="132"/>
      <c r="V9" s="41">
        <f t="shared" si="1"/>
        <v>35</v>
      </c>
    </row>
    <row r="10" spans="1:22" ht="28.5" customHeight="1">
      <c r="A10" s="33" t="s">
        <v>14</v>
      </c>
      <c r="B10" s="117"/>
      <c r="C10" s="118"/>
      <c r="D10" s="118"/>
      <c r="E10" s="118"/>
      <c r="F10" s="118"/>
      <c r="G10" s="118"/>
      <c r="H10" s="118"/>
      <c r="I10" s="118"/>
      <c r="J10" s="119"/>
      <c r="K10" s="35" t="s">
        <v>73</v>
      </c>
      <c r="L10" s="137" t="str">
        <f t="shared" ca="1" si="0"/>
        <v/>
      </c>
      <c r="M10" s="131"/>
      <c r="N10" s="131"/>
      <c r="O10" s="131"/>
      <c r="P10" s="131"/>
      <c r="Q10" s="131"/>
      <c r="R10" s="131"/>
      <c r="S10" s="131"/>
      <c r="T10" s="131"/>
      <c r="U10" s="132"/>
      <c r="V10" s="41">
        <f t="shared" si="1"/>
        <v>37</v>
      </c>
    </row>
    <row r="11" spans="1:22" ht="28.5" customHeight="1">
      <c r="A11" s="33" t="s">
        <v>15</v>
      </c>
      <c r="B11" s="117"/>
      <c r="C11" s="118"/>
      <c r="D11" s="118"/>
      <c r="E11" s="118"/>
      <c r="F11" s="118"/>
      <c r="G11" s="118"/>
      <c r="H11" s="118"/>
      <c r="I11" s="118"/>
      <c r="J11" s="119"/>
      <c r="K11" s="35" t="s">
        <v>73</v>
      </c>
      <c r="L11" s="137" t="str">
        <f t="shared" ca="1" si="0"/>
        <v/>
      </c>
      <c r="M11" s="131"/>
      <c r="N11" s="131"/>
      <c r="O11" s="131"/>
      <c r="P11" s="131"/>
      <c r="Q11" s="131"/>
      <c r="R11" s="131"/>
      <c r="S11" s="131"/>
      <c r="T11" s="131"/>
      <c r="U11" s="132"/>
      <c r="V11" s="41">
        <f t="shared" si="1"/>
        <v>39</v>
      </c>
    </row>
    <row r="12" spans="1:22" ht="28.5" customHeight="1">
      <c r="A12" s="33" t="s">
        <v>16</v>
      </c>
      <c r="B12" s="117"/>
      <c r="C12" s="118"/>
      <c r="D12" s="118"/>
      <c r="E12" s="118"/>
      <c r="F12" s="118"/>
      <c r="G12" s="118"/>
      <c r="H12" s="118"/>
      <c r="I12" s="118"/>
      <c r="J12" s="119"/>
      <c r="K12" s="35" t="s">
        <v>73</v>
      </c>
      <c r="L12" s="137" t="str">
        <f t="shared" ca="1" si="0"/>
        <v/>
      </c>
      <c r="M12" s="131"/>
      <c r="N12" s="131"/>
      <c r="O12" s="131"/>
      <c r="P12" s="131"/>
      <c r="Q12" s="131"/>
      <c r="R12" s="131"/>
      <c r="S12" s="131"/>
      <c r="T12" s="131"/>
      <c r="U12" s="132"/>
      <c r="V12" s="41">
        <f t="shared" si="1"/>
        <v>41</v>
      </c>
    </row>
    <row r="13" spans="1:22" ht="28.5" customHeight="1">
      <c r="A13" s="33" t="s">
        <v>17</v>
      </c>
      <c r="B13" s="117"/>
      <c r="C13" s="118"/>
      <c r="D13" s="118"/>
      <c r="E13" s="118"/>
      <c r="F13" s="118"/>
      <c r="G13" s="118"/>
      <c r="H13" s="118"/>
      <c r="I13" s="118"/>
      <c r="J13" s="119"/>
      <c r="K13" s="35" t="s">
        <v>73</v>
      </c>
      <c r="L13" s="137" t="str">
        <f t="shared" ca="1" si="0"/>
        <v/>
      </c>
      <c r="M13" s="131"/>
      <c r="N13" s="131"/>
      <c r="O13" s="131"/>
      <c r="P13" s="131"/>
      <c r="Q13" s="131"/>
      <c r="R13" s="131"/>
      <c r="S13" s="131"/>
      <c r="T13" s="131"/>
      <c r="U13" s="132"/>
      <c r="V13" s="41">
        <f t="shared" si="1"/>
        <v>43</v>
      </c>
    </row>
    <row r="14" spans="1:22" ht="28.5" customHeight="1">
      <c r="A14" s="33" t="s">
        <v>18</v>
      </c>
      <c r="B14" s="117"/>
      <c r="C14" s="118"/>
      <c r="D14" s="118"/>
      <c r="E14" s="118"/>
      <c r="F14" s="118"/>
      <c r="G14" s="118"/>
      <c r="H14" s="118"/>
      <c r="I14" s="118"/>
      <c r="J14" s="119"/>
      <c r="K14" s="35" t="s">
        <v>73</v>
      </c>
      <c r="L14" s="137" t="str">
        <f t="shared" ca="1" si="0"/>
        <v/>
      </c>
      <c r="M14" s="131"/>
      <c r="N14" s="131"/>
      <c r="O14" s="131"/>
      <c r="P14" s="131"/>
      <c r="Q14" s="131"/>
      <c r="R14" s="131"/>
      <c r="S14" s="131"/>
      <c r="T14" s="131"/>
      <c r="U14" s="132"/>
      <c r="V14" s="41">
        <f t="shared" si="1"/>
        <v>45</v>
      </c>
    </row>
    <row r="15" spans="1:22" ht="28.5" customHeight="1">
      <c r="A15" s="33" t="s">
        <v>19</v>
      </c>
      <c r="B15" s="117"/>
      <c r="C15" s="118"/>
      <c r="D15" s="118"/>
      <c r="E15" s="118"/>
      <c r="F15" s="118"/>
      <c r="G15" s="118"/>
      <c r="H15" s="118"/>
      <c r="I15" s="118"/>
      <c r="J15" s="119"/>
      <c r="K15" s="35" t="s">
        <v>73</v>
      </c>
      <c r="L15" s="137" t="str">
        <f t="shared" ca="1" si="0"/>
        <v/>
      </c>
      <c r="M15" s="131"/>
      <c r="N15" s="131"/>
      <c r="O15" s="131"/>
      <c r="P15" s="131"/>
      <c r="Q15" s="131"/>
      <c r="R15" s="131"/>
      <c r="S15" s="131"/>
      <c r="T15" s="131"/>
      <c r="U15" s="132"/>
      <c r="V15" s="41">
        <f t="shared" si="1"/>
        <v>47</v>
      </c>
    </row>
    <row r="16" spans="1:22" ht="28.5" customHeight="1">
      <c r="A16" s="33" t="s">
        <v>20</v>
      </c>
      <c r="B16" s="117"/>
      <c r="C16" s="118"/>
      <c r="D16" s="118"/>
      <c r="E16" s="118"/>
      <c r="F16" s="118"/>
      <c r="G16" s="118"/>
      <c r="H16" s="118"/>
      <c r="I16" s="118"/>
      <c r="J16" s="119"/>
      <c r="K16" s="35" t="s">
        <v>73</v>
      </c>
      <c r="L16" s="137" t="str">
        <f t="shared" ca="1" si="0"/>
        <v/>
      </c>
      <c r="M16" s="131"/>
      <c r="N16" s="131"/>
      <c r="O16" s="131"/>
      <c r="P16" s="131"/>
      <c r="Q16" s="131"/>
      <c r="R16" s="131"/>
      <c r="S16" s="131"/>
      <c r="T16" s="131"/>
      <c r="U16" s="132"/>
      <c r="V16" s="41">
        <f t="shared" si="1"/>
        <v>49</v>
      </c>
    </row>
    <row r="17" spans="1:88" ht="28.5" customHeight="1">
      <c r="A17" s="33" t="s">
        <v>22</v>
      </c>
      <c r="B17" s="117"/>
      <c r="C17" s="118"/>
      <c r="D17" s="118"/>
      <c r="E17" s="118"/>
      <c r="F17" s="118"/>
      <c r="G17" s="118"/>
      <c r="H17" s="118"/>
      <c r="I17" s="118"/>
      <c r="J17" s="119"/>
      <c r="K17" s="35" t="s">
        <v>73</v>
      </c>
      <c r="L17" s="137" t="str">
        <f t="shared" ca="1" si="0"/>
        <v/>
      </c>
      <c r="M17" s="131"/>
      <c r="N17" s="131"/>
      <c r="O17" s="131"/>
      <c r="P17" s="131"/>
      <c r="Q17" s="131"/>
      <c r="R17" s="131"/>
      <c r="S17" s="131"/>
      <c r="T17" s="131"/>
      <c r="U17" s="132"/>
      <c r="V17" s="41">
        <f t="shared" si="1"/>
        <v>51</v>
      </c>
    </row>
    <row r="18" spans="1:88" ht="28.5" customHeight="1">
      <c r="A18" s="33" t="s">
        <v>23</v>
      </c>
      <c r="B18" s="117"/>
      <c r="C18" s="118"/>
      <c r="D18" s="118"/>
      <c r="E18" s="118"/>
      <c r="F18" s="118"/>
      <c r="G18" s="118"/>
      <c r="H18" s="118"/>
      <c r="I18" s="118"/>
      <c r="J18" s="119"/>
      <c r="K18" s="35" t="s">
        <v>73</v>
      </c>
      <c r="L18" s="137" t="str">
        <f t="shared" ca="1" si="0"/>
        <v/>
      </c>
      <c r="M18" s="131"/>
      <c r="N18" s="131"/>
      <c r="O18" s="131"/>
      <c r="P18" s="131"/>
      <c r="Q18" s="131"/>
      <c r="R18" s="131"/>
      <c r="S18" s="131"/>
      <c r="T18" s="131"/>
      <c r="U18" s="132"/>
      <c r="V18" s="41">
        <f t="shared" si="1"/>
        <v>53</v>
      </c>
    </row>
    <row r="19" spans="1:88" ht="28.5" customHeight="1">
      <c r="A19" s="33" t="s">
        <v>24</v>
      </c>
      <c r="B19" s="117"/>
      <c r="C19" s="118"/>
      <c r="D19" s="118"/>
      <c r="E19" s="118"/>
      <c r="F19" s="118"/>
      <c r="G19" s="118"/>
      <c r="H19" s="118"/>
      <c r="I19" s="118"/>
      <c r="J19" s="119"/>
      <c r="K19" s="35" t="s">
        <v>73</v>
      </c>
      <c r="L19" s="137" t="str">
        <f t="shared" ca="1" si="0"/>
        <v/>
      </c>
      <c r="M19" s="131"/>
      <c r="N19" s="131"/>
      <c r="O19" s="131"/>
      <c r="P19" s="131"/>
      <c r="Q19" s="131"/>
      <c r="R19" s="131"/>
      <c r="S19" s="131"/>
      <c r="T19" s="131"/>
      <c r="U19" s="132"/>
      <c r="V19" s="41">
        <f t="shared" si="1"/>
        <v>55</v>
      </c>
    </row>
    <row r="20" spans="1:88" ht="28.5" customHeight="1">
      <c r="A20" s="33" t="s">
        <v>25</v>
      </c>
      <c r="B20" s="117"/>
      <c r="C20" s="118"/>
      <c r="D20" s="118"/>
      <c r="E20" s="118"/>
      <c r="F20" s="118"/>
      <c r="G20" s="118"/>
      <c r="H20" s="118"/>
      <c r="I20" s="118"/>
      <c r="J20" s="119"/>
      <c r="K20" s="35" t="s">
        <v>73</v>
      </c>
      <c r="L20" s="137" t="str">
        <f t="shared" ca="1" si="0"/>
        <v/>
      </c>
      <c r="M20" s="131"/>
      <c r="N20" s="131"/>
      <c r="O20" s="131"/>
      <c r="P20" s="131"/>
      <c r="Q20" s="131"/>
      <c r="R20" s="131"/>
      <c r="S20" s="131"/>
      <c r="T20" s="131"/>
      <c r="U20" s="132"/>
      <c r="V20" s="41">
        <f t="shared" si="1"/>
        <v>57</v>
      </c>
      <c r="AA20" s="3" t="str">
        <f t="shared" ref="AA20" si="2">CONCATENATE(B72,C72,D72,E72,F72,G72,H72,I72,J72,K72,L72,M72,U72,V72,W72,X72,Y72,AG72,AO72,AW72)</f>
        <v/>
      </c>
      <c r="BG20" s="3" t="str">
        <f t="shared" ref="BG20" si="3">CONCATENATE(AH72,AI72,AJ72,AK72,AL72,AM72,AN72,AO72,AP72,AQ72,AR72,AS72,BA72,BB72,BC72,BD72,BE72,BM72,BU72,CC72)</f>
        <v/>
      </c>
    </row>
    <row r="21" spans="1:88" ht="28.5" customHeight="1">
      <c r="A21" s="33" t="s">
        <v>122</v>
      </c>
      <c r="B21" s="117"/>
      <c r="C21" s="118"/>
      <c r="D21" s="118"/>
      <c r="E21" s="118"/>
      <c r="F21" s="118"/>
      <c r="G21" s="118"/>
      <c r="H21" s="118"/>
      <c r="I21" s="118"/>
      <c r="J21" s="119"/>
      <c r="K21" s="35" t="s">
        <v>73</v>
      </c>
      <c r="L21" s="137" t="str">
        <f t="shared" ca="1" si="0"/>
        <v/>
      </c>
      <c r="M21" s="131"/>
      <c r="N21" s="131"/>
      <c r="O21" s="131"/>
      <c r="P21" s="131"/>
      <c r="Q21" s="131"/>
      <c r="R21" s="131"/>
      <c r="S21" s="131"/>
      <c r="T21" s="131"/>
      <c r="U21" s="132"/>
      <c r="V21" s="41">
        <f t="shared" si="1"/>
        <v>59</v>
      </c>
    </row>
    <row r="22" spans="1:88" ht="82.9" customHeight="1">
      <c r="A22" s="48" t="s">
        <v>71</v>
      </c>
      <c r="B22" s="129" t="e">
        <f ca="1">CONCATENATE(L6,L7,L8,L9,L10,L11,L12,L13,L14,L15,L16,L17,L18,L19,L20,L21)</f>
        <v>#NUM!</v>
      </c>
      <c r="C22" s="130"/>
      <c r="D22" s="130"/>
      <c r="E22" s="130"/>
      <c r="F22" s="130"/>
      <c r="G22" s="130"/>
      <c r="H22" s="130"/>
      <c r="I22" s="130"/>
      <c r="J22" s="130"/>
      <c r="K22" s="130"/>
      <c r="L22" s="130"/>
      <c r="M22" s="130"/>
      <c r="N22" s="130"/>
      <c r="O22" s="130"/>
      <c r="P22" s="130"/>
      <c r="Q22" s="130"/>
      <c r="R22" s="130"/>
      <c r="S22" s="131"/>
      <c r="T22" s="131"/>
      <c r="U22" s="132"/>
    </row>
    <row r="23" spans="1:88">
      <c r="B23" s="2"/>
      <c r="C23" s="36"/>
      <c r="D23" s="4"/>
      <c r="E23" s="4"/>
      <c r="F23" s="37"/>
      <c r="G23" s="4"/>
      <c r="H23" s="37"/>
      <c r="I23" s="4"/>
      <c r="J23" s="4"/>
      <c r="K23" s="4"/>
      <c r="L23" s="4"/>
      <c r="M23" s="4"/>
      <c r="N23" s="4"/>
      <c r="O23" s="4"/>
      <c r="P23" s="4"/>
      <c r="Q23" s="4"/>
      <c r="R23" s="4"/>
      <c r="S23" s="4"/>
      <c r="T23" s="4"/>
    </row>
    <row r="24" spans="1:88">
      <c r="B24" s="126" t="s">
        <v>115</v>
      </c>
      <c r="C24" s="126"/>
      <c r="D24" s="126"/>
      <c r="E24" s="126"/>
      <c r="F24" s="127" t="s">
        <v>116</v>
      </c>
      <c r="G24" s="126"/>
      <c r="H24" s="126"/>
      <c r="I24" s="127" t="s">
        <v>117</v>
      </c>
      <c r="J24" s="126"/>
      <c r="K24" s="127" t="s">
        <v>118</v>
      </c>
      <c r="L24" s="126"/>
      <c r="M24" s="128" t="s">
        <v>114</v>
      </c>
      <c r="N24" s="121"/>
      <c r="O24" s="121"/>
      <c r="P24" s="121"/>
      <c r="Q24" s="121"/>
      <c r="R24" s="121"/>
      <c r="S24" s="121"/>
      <c r="T24" s="122"/>
      <c r="U24" s="38" t="s">
        <v>119</v>
      </c>
      <c r="V24" s="38" t="s">
        <v>67</v>
      </c>
      <c r="W24" s="127" t="s">
        <v>120</v>
      </c>
      <c r="X24" s="126"/>
      <c r="Y24" s="120" t="s">
        <v>77</v>
      </c>
      <c r="Z24" s="121"/>
      <c r="AA24" s="121"/>
      <c r="AB24" s="121"/>
      <c r="AC24" s="121"/>
      <c r="AD24" s="121"/>
      <c r="AE24" s="121"/>
      <c r="AF24" s="121"/>
      <c r="AG24" s="121"/>
      <c r="AH24" s="121"/>
      <c r="AI24" s="121"/>
      <c r="AJ24" s="121"/>
      <c r="AK24" s="121"/>
      <c r="AL24" s="121"/>
      <c r="AM24" s="121"/>
      <c r="AN24" s="122"/>
      <c r="AO24" s="120" t="s">
        <v>78</v>
      </c>
      <c r="AP24" s="121"/>
      <c r="AQ24" s="121"/>
      <c r="AR24" s="121"/>
      <c r="AS24" s="121"/>
      <c r="AT24" s="121"/>
      <c r="AU24" s="121"/>
      <c r="AV24" s="121"/>
      <c r="AW24" s="121"/>
      <c r="AX24" s="121"/>
      <c r="AY24" s="121"/>
      <c r="AZ24" s="121"/>
      <c r="BA24" s="121"/>
      <c r="BB24" s="121"/>
      <c r="BC24" s="121"/>
      <c r="BD24" s="122"/>
      <c r="BE24" s="120" t="s">
        <v>146</v>
      </c>
      <c r="BF24" s="121"/>
      <c r="BG24" s="121"/>
      <c r="BH24" s="121"/>
      <c r="BI24" s="121"/>
      <c r="BJ24" s="121"/>
      <c r="BK24" s="121"/>
      <c r="BL24" s="121"/>
      <c r="BM24" s="121"/>
      <c r="BN24" s="121"/>
      <c r="BO24" s="121"/>
      <c r="BP24" s="121"/>
      <c r="BQ24" s="121"/>
      <c r="BR24" s="121"/>
      <c r="BS24" s="121"/>
      <c r="BT24" s="122"/>
      <c r="BU24" s="120" t="s">
        <v>147</v>
      </c>
      <c r="BV24" s="121"/>
      <c r="BW24" s="121"/>
      <c r="BX24" s="121"/>
      <c r="BY24" s="121"/>
      <c r="BZ24" s="121"/>
      <c r="CA24" s="121"/>
      <c r="CB24" s="121"/>
      <c r="CC24" s="121"/>
      <c r="CD24" s="121"/>
      <c r="CE24" s="121"/>
      <c r="CF24" s="121"/>
      <c r="CG24" s="121"/>
      <c r="CH24" s="121"/>
      <c r="CI24" s="121"/>
      <c r="CJ24" s="122"/>
    </row>
    <row r="25" spans="1:88" s="44" customFormat="1" ht="142.35" customHeight="1">
      <c r="A25" s="42"/>
      <c r="B25" s="43" t="str">
        <f t="shared" ref="B25:AG25" ca="1" si="4">IF(INDIRECT("'parameters recipe'!G"&amp;B27)&lt;&gt;0,INDIRECT("'parameters recipe'!G"&amp;B27),"")</f>
        <v>°C</v>
      </c>
      <c r="C25" s="43" t="str">
        <f t="shared" ca="1" si="4"/>
        <v/>
      </c>
      <c r="D25" s="43" t="str">
        <f t="shared" ca="1" si="4"/>
        <v>°C</v>
      </c>
      <c r="E25" s="43" t="str">
        <f t="shared" ca="1" si="4"/>
        <v/>
      </c>
      <c r="F25" s="43" t="str">
        <f t="shared" ca="1" si="4"/>
        <v>°C</v>
      </c>
      <c r="G25" s="43" t="str">
        <f t="shared" ca="1" si="4"/>
        <v/>
      </c>
      <c r="H25" s="43" t="str">
        <f t="shared" ca="1" si="4"/>
        <v>°C</v>
      </c>
      <c r="I25" s="43" t="str">
        <f t="shared" ca="1" si="4"/>
        <v/>
      </c>
      <c r="J25" s="43" t="str">
        <f t="shared" ca="1" si="4"/>
        <v>x 0.1 ml/s</v>
      </c>
      <c r="K25" s="43" t="str">
        <f t="shared" ca="1" si="4"/>
        <v/>
      </c>
      <c r="L25" s="43" t="str">
        <f t="shared" ca="1" si="4"/>
        <v>x 0.1 ml/s</v>
      </c>
      <c r="M25" s="43" t="str">
        <f t="shared" ca="1" si="4"/>
        <v/>
      </c>
      <c r="N25" s="43" t="str">
        <f t="shared" ca="1" si="4"/>
        <v>%</v>
      </c>
      <c r="O25" s="43" t="str">
        <f t="shared" ca="1" si="4"/>
        <v/>
      </c>
      <c r="P25" s="43" t="str">
        <f t="shared" ca="1" si="4"/>
        <v>x 0.1 Bar</v>
      </c>
      <c r="Q25" s="43" t="str">
        <f t="shared" ca="1" si="4"/>
        <v>x 0.1 Bar</v>
      </c>
      <c r="R25" s="43" t="str">
        <f t="shared" ca="1" si="4"/>
        <v>ml</v>
      </c>
      <c r="S25" s="43" t="str">
        <f t="shared" ca="1" si="4"/>
        <v>ml</v>
      </c>
      <c r="T25" s="43" t="str">
        <f t="shared" ca="1" si="4"/>
        <v>-</v>
      </c>
      <c r="U25" s="43" t="str">
        <f t="shared" ca="1" si="4"/>
        <v/>
      </c>
      <c r="V25" s="43" t="str">
        <f t="shared" ca="1" si="4"/>
        <v/>
      </c>
      <c r="W25" s="43" t="str">
        <f t="shared" ca="1" si="4"/>
        <v/>
      </c>
      <c r="X25" s="43" t="str">
        <f t="shared" ca="1" si="4"/>
        <v/>
      </c>
      <c r="Y25" s="43" t="str">
        <f t="shared" ca="1" si="4"/>
        <v/>
      </c>
      <c r="Z25" s="43" t="str">
        <f t="shared" ca="1" si="4"/>
        <v/>
      </c>
      <c r="AA25" s="43" t="str">
        <f t="shared" ca="1" si="4"/>
        <v/>
      </c>
      <c r="AB25" s="43" t="str">
        <f t="shared" ca="1" si="4"/>
        <v/>
      </c>
      <c r="AC25" s="43" t="str">
        <f t="shared" ca="1" si="4"/>
        <v/>
      </c>
      <c r="AD25" s="43" t="str">
        <f t="shared" ca="1" si="4"/>
        <v>-</v>
      </c>
      <c r="AE25" s="43" t="str">
        <f t="shared" ca="1" si="4"/>
        <v/>
      </c>
      <c r="AF25" s="43" t="str">
        <f t="shared" ca="1" si="4"/>
        <v/>
      </c>
      <c r="AG25" s="43" t="str">
        <f t="shared" ca="1" si="4"/>
        <v/>
      </c>
      <c r="AH25" s="43" t="str">
        <f t="shared" ref="AH25:BM25" ca="1" si="5">IF(INDIRECT("'parameters recipe'!G"&amp;AH27)&lt;&gt;0,INDIRECT("'parameters recipe'!G"&amp;AH27),"")</f>
        <v/>
      </c>
      <c r="AI25" s="43" t="str">
        <f t="shared" ca="1" si="5"/>
        <v/>
      </c>
      <c r="AJ25" s="43" t="str">
        <f t="shared" ca="1" si="5"/>
        <v>x 0.1 s</v>
      </c>
      <c r="AK25" s="43" t="str">
        <f t="shared" ca="1" si="5"/>
        <v>-</v>
      </c>
      <c r="AL25" s="43" t="str">
        <f t="shared" ca="1" si="5"/>
        <v/>
      </c>
      <c r="AM25" s="43" t="str">
        <f t="shared" ca="1" si="5"/>
        <v/>
      </c>
      <c r="AN25" s="43" t="str">
        <f t="shared" ca="1" si="5"/>
        <v/>
      </c>
      <c r="AO25" s="43" t="str">
        <f t="shared" ca="1" si="5"/>
        <v>-</v>
      </c>
      <c r="AP25" s="43" t="str">
        <f t="shared" ca="1" si="5"/>
        <v/>
      </c>
      <c r="AQ25" s="43" t="str">
        <f t="shared" ca="1" si="5"/>
        <v/>
      </c>
      <c r="AR25" s="43" t="str">
        <f t="shared" ca="1" si="5"/>
        <v/>
      </c>
      <c r="AS25" s="43" t="str">
        <f t="shared" ca="1" si="5"/>
        <v>-</v>
      </c>
      <c r="AT25" s="43" t="str">
        <f t="shared" ca="1" si="5"/>
        <v>-</v>
      </c>
      <c r="AU25" s="43" t="str">
        <f t="shared" ca="1" si="5"/>
        <v>-</v>
      </c>
      <c r="AV25" s="43" t="str">
        <f t="shared" ca="1" si="5"/>
        <v>-</v>
      </c>
      <c r="AW25" s="43" t="str">
        <f t="shared" ca="1" si="5"/>
        <v>-</v>
      </c>
      <c r="AX25" s="43" t="str">
        <f t="shared" ca="1" si="5"/>
        <v>-</v>
      </c>
      <c r="AY25" s="43" t="str">
        <f t="shared" ca="1" si="5"/>
        <v>-</v>
      </c>
      <c r="AZ25" s="43" t="str">
        <f t="shared" ca="1" si="5"/>
        <v>-</v>
      </c>
      <c r="BA25" s="43" t="str">
        <f t="shared" ca="1" si="5"/>
        <v>-</v>
      </c>
      <c r="BB25" s="43" t="str">
        <f t="shared" ca="1" si="5"/>
        <v>-</v>
      </c>
      <c r="BC25" s="43" t="str">
        <f t="shared" ca="1" si="5"/>
        <v>-</v>
      </c>
      <c r="BD25" s="43" t="str">
        <f t="shared" ca="1" si="5"/>
        <v>-</v>
      </c>
      <c r="BE25" s="43" t="str">
        <f t="shared" ca="1" si="5"/>
        <v>-</v>
      </c>
      <c r="BF25" s="43" t="str">
        <f t="shared" ca="1" si="5"/>
        <v>-</v>
      </c>
      <c r="BG25" s="43" t="str">
        <f t="shared" ca="1" si="5"/>
        <v>-</v>
      </c>
      <c r="BH25" s="43" t="str">
        <f t="shared" ca="1" si="5"/>
        <v>-</v>
      </c>
      <c r="BI25" s="43" t="str">
        <f t="shared" ca="1" si="5"/>
        <v>-</v>
      </c>
      <c r="BJ25" s="43" t="str">
        <f t="shared" ca="1" si="5"/>
        <v>-</v>
      </c>
      <c r="BK25" s="43" t="str">
        <f t="shared" ca="1" si="5"/>
        <v>-</v>
      </c>
      <c r="BL25" s="43" t="str">
        <f t="shared" ca="1" si="5"/>
        <v>-</v>
      </c>
      <c r="BM25" s="43" t="str">
        <f t="shared" ca="1" si="5"/>
        <v>-</v>
      </c>
      <c r="BN25" s="43" t="str">
        <f t="shared" ref="BN25:CJ25" ca="1" si="6">IF(INDIRECT("'parameters recipe'!G"&amp;BN27)&lt;&gt;0,INDIRECT("'parameters recipe'!G"&amp;BN27),"")</f>
        <v>-</v>
      </c>
      <c r="BO25" s="43" t="str">
        <f t="shared" ca="1" si="6"/>
        <v>-</v>
      </c>
      <c r="BP25" s="43" t="str">
        <f t="shared" ca="1" si="6"/>
        <v>-</v>
      </c>
      <c r="BQ25" s="43" t="str">
        <f t="shared" ca="1" si="6"/>
        <v>-</v>
      </c>
      <c r="BR25" s="43" t="str">
        <f t="shared" ca="1" si="6"/>
        <v>-</v>
      </c>
      <c r="BS25" s="43" t="str">
        <f t="shared" ca="1" si="6"/>
        <v>-</v>
      </c>
      <c r="BT25" s="43" t="str">
        <f t="shared" ca="1" si="6"/>
        <v>-</v>
      </c>
      <c r="BU25" s="43" t="str">
        <f t="shared" ca="1" si="6"/>
        <v>-</v>
      </c>
      <c r="BV25" s="43" t="str">
        <f t="shared" ca="1" si="6"/>
        <v>-</v>
      </c>
      <c r="BW25" s="43" t="str">
        <f t="shared" ca="1" si="6"/>
        <v>-</v>
      </c>
      <c r="BX25" s="43" t="str">
        <f t="shared" ca="1" si="6"/>
        <v>-</v>
      </c>
      <c r="BY25" s="43" t="str">
        <f t="shared" ca="1" si="6"/>
        <v>-</v>
      </c>
      <c r="BZ25" s="43" t="str">
        <f t="shared" ca="1" si="6"/>
        <v>-</v>
      </c>
      <c r="CA25" s="43" t="str">
        <f t="shared" ca="1" si="6"/>
        <v>-</v>
      </c>
      <c r="CB25" s="43" t="str">
        <f t="shared" ca="1" si="6"/>
        <v>-</v>
      </c>
      <c r="CC25" s="43" t="str">
        <f t="shared" ca="1" si="6"/>
        <v>-</v>
      </c>
      <c r="CD25" s="43" t="str">
        <f t="shared" ca="1" si="6"/>
        <v>-</v>
      </c>
      <c r="CE25" s="43" t="str">
        <f t="shared" ca="1" si="6"/>
        <v>-</v>
      </c>
      <c r="CF25" s="43" t="str">
        <f t="shared" ca="1" si="6"/>
        <v>-</v>
      </c>
      <c r="CG25" s="43" t="str">
        <f t="shared" ca="1" si="6"/>
        <v>-</v>
      </c>
      <c r="CH25" s="43" t="str">
        <f t="shared" ca="1" si="6"/>
        <v>-</v>
      </c>
      <c r="CI25" s="43" t="str">
        <f t="shared" ca="1" si="6"/>
        <v>-</v>
      </c>
      <c r="CJ25" s="43" t="str">
        <f t="shared" ca="1" si="6"/>
        <v>-</v>
      </c>
    </row>
    <row r="26" spans="1:88" s="26" customFormat="1" ht="35.25">
      <c r="A26" s="28" t="s">
        <v>6</v>
      </c>
      <c r="B26" s="27">
        <f t="shared" ref="B26:AG26" ca="1" si="7">IF(INDIRECT("'parameters recipe'!F"&amp;B27)&lt;&gt;0,INDIRECT("'parameters recipe'!F"&amp;B27),"")</f>
        <v>255</v>
      </c>
      <c r="C26" s="27" t="str">
        <f t="shared" ca="1" si="7"/>
        <v/>
      </c>
      <c r="D26" s="27">
        <f t="shared" ca="1" si="7"/>
        <v>255</v>
      </c>
      <c r="E26" s="27" t="str">
        <f t="shared" ca="1" si="7"/>
        <v/>
      </c>
      <c r="F26" s="27">
        <f t="shared" ca="1" si="7"/>
        <v>255</v>
      </c>
      <c r="G26" s="27" t="str">
        <f t="shared" ca="1" si="7"/>
        <v/>
      </c>
      <c r="H26" s="27">
        <f t="shared" ca="1" si="7"/>
        <v>255</v>
      </c>
      <c r="I26" s="27" t="str">
        <f t="shared" ca="1" si="7"/>
        <v/>
      </c>
      <c r="J26" s="27">
        <f t="shared" ca="1" si="7"/>
        <v>255</v>
      </c>
      <c r="K26" s="27" t="str">
        <f t="shared" ca="1" si="7"/>
        <v/>
      </c>
      <c r="L26" s="27">
        <f t="shared" ca="1" si="7"/>
        <v>255</v>
      </c>
      <c r="M26" s="27" t="str">
        <f t="shared" ca="1" si="7"/>
        <v/>
      </c>
      <c r="N26" s="27">
        <f t="shared" ca="1" si="7"/>
        <v>255</v>
      </c>
      <c r="O26" s="27" t="str">
        <f t="shared" ca="1" si="7"/>
        <v/>
      </c>
      <c r="P26" s="27">
        <f t="shared" ca="1" si="7"/>
        <v>255</v>
      </c>
      <c r="Q26" s="27">
        <f t="shared" ca="1" si="7"/>
        <v>255</v>
      </c>
      <c r="R26" s="27">
        <f t="shared" ca="1" si="7"/>
        <v>65535</v>
      </c>
      <c r="S26" s="27">
        <f t="shared" ca="1" si="7"/>
        <v>65535</v>
      </c>
      <c r="T26" s="27">
        <f t="shared" ca="1" si="7"/>
        <v>255</v>
      </c>
      <c r="U26" s="27" t="str">
        <f t="shared" ca="1" si="7"/>
        <v/>
      </c>
      <c r="V26" s="27" t="str">
        <f t="shared" ca="1" si="7"/>
        <v/>
      </c>
      <c r="W26" s="27" t="str">
        <f t="shared" ca="1" si="7"/>
        <v/>
      </c>
      <c r="X26" s="27" t="str">
        <f t="shared" ca="1" si="7"/>
        <v/>
      </c>
      <c r="Y26" s="27" t="str">
        <f t="shared" ca="1" si="7"/>
        <v/>
      </c>
      <c r="Z26" s="27" t="str">
        <f t="shared" ca="1" si="7"/>
        <v/>
      </c>
      <c r="AA26" s="27" t="str">
        <f t="shared" ca="1" si="7"/>
        <v/>
      </c>
      <c r="AB26" s="27" t="str">
        <f t="shared" ca="1" si="7"/>
        <v/>
      </c>
      <c r="AC26" s="27" t="str">
        <f t="shared" ca="1" si="7"/>
        <v/>
      </c>
      <c r="AD26" s="27">
        <f t="shared" ca="1" si="7"/>
        <v>255</v>
      </c>
      <c r="AE26" s="27" t="str">
        <f t="shared" ca="1" si="7"/>
        <v/>
      </c>
      <c r="AF26" s="27" t="str">
        <f t="shared" ca="1" si="7"/>
        <v/>
      </c>
      <c r="AG26" s="27" t="str">
        <f t="shared" ca="1" si="7"/>
        <v/>
      </c>
      <c r="AH26" s="27" t="str">
        <f t="shared" ref="AH26:BM26" ca="1" si="8">IF(INDIRECT("'parameters recipe'!F"&amp;AH27)&lt;&gt;0,INDIRECT("'parameters recipe'!F"&amp;AH27),"")</f>
        <v/>
      </c>
      <c r="AI26" s="27" t="str">
        <f t="shared" ca="1" si="8"/>
        <v/>
      </c>
      <c r="AJ26" s="27">
        <f t="shared" ca="1" si="8"/>
        <v>65535</v>
      </c>
      <c r="AK26" s="27">
        <f t="shared" ca="1" si="8"/>
        <v>2</v>
      </c>
      <c r="AL26" s="27" t="str">
        <f t="shared" ca="1" si="8"/>
        <v/>
      </c>
      <c r="AM26" s="27" t="str">
        <f t="shared" ca="1" si="8"/>
        <v/>
      </c>
      <c r="AN26" s="27" t="str">
        <f t="shared" ca="1" si="8"/>
        <v/>
      </c>
      <c r="AO26" s="27">
        <f t="shared" ca="1" si="8"/>
        <v>2</v>
      </c>
      <c r="AP26" s="27" t="str">
        <f t="shared" ca="1" si="8"/>
        <v/>
      </c>
      <c r="AQ26" s="27" t="str">
        <f t="shared" ca="1" si="8"/>
        <v/>
      </c>
      <c r="AR26" s="27" t="str">
        <f t="shared" ca="1" si="8"/>
        <v/>
      </c>
      <c r="AS26" s="27">
        <f t="shared" ca="1" si="8"/>
        <v>65535</v>
      </c>
      <c r="AT26" s="27" t="str">
        <f t="shared" ca="1" si="8"/>
        <v/>
      </c>
      <c r="AU26" s="27" t="str">
        <f t="shared" ca="1" si="8"/>
        <v/>
      </c>
      <c r="AV26" s="27" t="str">
        <f t="shared" ca="1" si="8"/>
        <v/>
      </c>
      <c r="AW26" s="27" t="str">
        <f t="shared" ca="1" si="8"/>
        <v/>
      </c>
      <c r="AX26" s="27" t="str">
        <f t="shared" ca="1" si="8"/>
        <v/>
      </c>
      <c r="AY26" s="27" t="str">
        <f t="shared" ca="1" si="8"/>
        <v/>
      </c>
      <c r="AZ26" s="27" t="str">
        <f t="shared" ca="1" si="8"/>
        <v/>
      </c>
      <c r="BA26" s="27" t="str">
        <f t="shared" ca="1" si="8"/>
        <v/>
      </c>
      <c r="BB26" s="27" t="str">
        <f t="shared" ca="1" si="8"/>
        <v/>
      </c>
      <c r="BC26" s="27" t="str">
        <f t="shared" ca="1" si="8"/>
        <v/>
      </c>
      <c r="BD26" s="27" t="str">
        <f t="shared" ca="1" si="8"/>
        <v/>
      </c>
      <c r="BE26" s="27" t="str">
        <f t="shared" ca="1" si="8"/>
        <v/>
      </c>
      <c r="BF26" s="27" t="str">
        <f t="shared" ca="1" si="8"/>
        <v/>
      </c>
      <c r="BG26" s="27" t="str">
        <f t="shared" ca="1" si="8"/>
        <v/>
      </c>
      <c r="BH26" s="27" t="str">
        <f t="shared" ca="1" si="8"/>
        <v/>
      </c>
      <c r="BI26" s="27">
        <f t="shared" ca="1" si="8"/>
        <v>65535</v>
      </c>
      <c r="BJ26" s="27" t="str">
        <f t="shared" ca="1" si="8"/>
        <v/>
      </c>
      <c r="BK26" s="27" t="str">
        <f t="shared" ca="1" si="8"/>
        <v/>
      </c>
      <c r="BL26" s="27" t="str">
        <f t="shared" ca="1" si="8"/>
        <v/>
      </c>
      <c r="BM26" s="27" t="str">
        <f t="shared" ca="1" si="8"/>
        <v/>
      </c>
      <c r="BN26" s="27" t="str">
        <f t="shared" ref="BN26:CJ26" ca="1" si="9">IF(INDIRECT("'parameters recipe'!F"&amp;BN27)&lt;&gt;0,INDIRECT("'parameters recipe'!F"&amp;BN27),"")</f>
        <v/>
      </c>
      <c r="BO26" s="27" t="str">
        <f t="shared" ca="1" si="9"/>
        <v/>
      </c>
      <c r="BP26" s="27" t="str">
        <f t="shared" ca="1" si="9"/>
        <v/>
      </c>
      <c r="BQ26" s="27" t="str">
        <f t="shared" ca="1" si="9"/>
        <v/>
      </c>
      <c r="BR26" s="27" t="str">
        <f t="shared" ca="1" si="9"/>
        <v/>
      </c>
      <c r="BS26" s="27" t="str">
        <f t="shared" ca="1" si="9"/>
        <v/>
      </c>
      <c r="BT26" s="27" t="str">
        <f t="shared" ca="1" si="9"/>
        <v/>
      </c>
      <c r="BU26" s="27" t="str">
        <f t="shared" ca="1" si="9"/>
        <v/>
      </c>
      <c r="BV26" s="27" t="str">
        <f t="shared" ca="1" si="9"/>
        <v/>
      </c>
      <c r="BW26" s="27" t="str">
        <f t="shared" ca="1" si="9"/>
        <v/>
      </c>
      <c r="BX26" s="27" t="str">
        <f t="shared" ca="1" si="9"/>
        <v/>
      </c>
      <c r="BY26" s="27">
        <f t="shared" ca="1" si="9"/>
        <v>65535</v>
      </c>
      <c r="BZ26" s="27" t="str">
        <f t="shared" ca="1" si="9"/>
        <v/>
      </c>
      <c r="CA26" s="27" t="str">
        <f t="shared" ca="1" si="9"/>
        <v/>
      </c>
      <c r="CB26" s="27" t="str">
        <f t="shared" ca="1" si="9"/>
        <v/>
      </c>
      <c r="CC26" s="27" t="str">
        <f t="shared" ca="1" si="9"/>
        <v/>
      </c>
      <c r="CD26" s="27" t="str">
        <f t="shared" ca="1" si="9"/>
        <v/>
      </c>
      <c r="CE26" s="27" t="str">
        <f t="shared" ca="1" si="9"/>
        <v/>
      </c>
      <c r="CF26" s="27" t="str">
        <f t="shared" ca="1" si="9"/>
        <v/>
      </c>
      <c r="CG26" s="27" t="str">
        <f t="shared" ca="1" si="9"/>
        <v/>
      </c>
      <c r="CH26" s="27" t="str">
        <f t="shared" ca="1" si="9"/>
        <v/>
      </c>
      <c r="CI26" s="27" t="str">
        <f t="shared" ca="1" si="9"/>
        <v/>
      </c>
      <c r="CJ26" s="27" t="str">
        <f t="shared" ca="1" si="9"/>
        <v/>
      </c>
    </row>
    <row r="27" spans="1:88" s="29" customFormat="1">
      <c r="A27" s="30" t="s">
        <v>50</v>
      </c>
      <c r="B27" s="31">
        <v>5</v>
      </c>
      <c r="C27" s="31">
        <f>B27+1</f>
        <v>6</v>
      </c>
      <c r="D27" s="31">
        <f t="shared" ref="D27:BO27" si="10">C27+1</f>
        <v>7</v>
      </c>
      <c r="E27" s="31">
        <f t="shared" si="10"/>
        <v>8</v>
      </c>
      <c r="F27" s="31">
        <f t="shared" si="10"/>
        <v>9</v>
      </c>
      <c r="G27" s="31">
        <f t="shared" si="10"/>
        <v>10</v>
      </c>
      <c r="H27" s="31">
        <f t="shared" si="10"/>
        <v>11</v>
      </c>
      <c r="I27" s="31">
        <f t="shared" si="10"/>
        <v>12</v>
      </c>
      <c r="J27" s="31">
        <f t="shared" si="10"/>
        <v>13</v>
      </c>
      <c r="K27" s="31">
        <f t="shared" si="10"/>
        <v>14</v>
      </c>
      <c r="L27" s="31">
        <f t="shared" si="10"/>
        <v>15</v>
      </c>
      <c r="M27" s="31">
        <f t="shared" si="10"/>
        <v>16</v>
      </c>
      <c r="N27" s="31">
        <f t="shared" si="10"/>
        <v>17</v>
      </c>
      <c r="O27" s="31">
        <f t="shared" si="10"/>
        <v>18</v>
      </c>
      <c r="P27" s="31">
        <f t="shared" si="10"/>
        <v>19</v>
      </c>
      <c r="Q27" s="31">
        <f t="shared" si="10"/>
        <v>20</v>
      </c>
      <c r="R27" s="31">
        <f t="shared" si="10"/>
        <v>21</v>
      </c>
      <c r="S27" s="31">
        <f t="shared" si="10"/>
        <v>22</v>
      </c>
      <c r="T27" s="31">
        <f t="shared" si="10"/>
        <v>23</v>
      </c>
      <c r="U27" s="31">
        <f t="shared" si="10"/>
        <v>24</v>
      </c>
      <c r="V27" s="31">
        <f t="shared" si="10"/>
        <v>25</v>
      </c>
      <c r="W27" s="31">
        <f t="shared" si="10"/>
        <v>26</v>
      </c>
      <c r="X27" s="31">
        <f t="shared" si="10"/>
        <v>27</v>
      </c>
      <c r="Y27" s="31">
        <f t="shared" si="10"/>
        <v>28</v>
      </c>
      <c r="Z27" s="31">
        <f t="shared" si="10"/>
        <v>29</v>
      </c>
      <c r="AA27" s="31">
        <f t="shared" si="10"/>
        <v>30</v>
      </c>
      <c r="AB27" s="31">
        <f t="shared" si="10"/>
        <v>31</v>
      </c>
      <c r="AC27" s="31">
        <f t="shared" si="10"/>
        <v>32</v>
      </c>
      <c r="AD27" s="31">
        <f t="shared" si="10"/>
        <v>33</v>
      </c>
      <c r="AE27" s="31">
        <f t="shared" si="10"/>
        <v>34</v>
      </c>
      <c r="AF27" s="31">
        <f t="shared" si="10"/>
        <v>35</v>
      </c>
      <c r="AG27" s="31">
        <f t="shared" si="10"/>
        <v>36</v>
      </c>
      <c r="AH27" s="31">
        <f t="shared" si="10"/>
        <v>37</v>
      </c>
      <c r="AI27" s="31">
        <f t="shared" si="10"/>
        <v>38</v>
      </c>
      <c r="AJ27" s="31">
        <f t="shared" si="10"/>
        <v>39</v>
      </c>
      <c r="AK27" s="31">
        <f t="shared" si="10"/>
        <v>40</v>
      </c>
      <c r="AL27" s="31">
        <f t="shared" si="10"/>
        <v>41</v>
      </c>
      <c r="AM27" s="31">
        <f t="shared" si="10"/>
        <v>42</v>
      </c>
      <c r="AN27" s="31">
        <f t="shared" si="10"/>
        <v>43</v>
      </c>
      <c r="AO27" s="31">
        <f t="shared" si="10"/>
        <v>44</v>
      </c>
      <c r="AP27" s="31">
        <f t="shared" si="10"/>
        <v>45</v>
      </c>
      <c r="AQ27" s="31">
        <f t="shared" si="10"/>
        <v>46</v>
      </c>
      <c r="AR27" s="31">
        <f t="shared" si="10"/>
        <v>47</v>
      </c>
      <c r="AS27" s="31">
        <f t="shared" si="10"/>
        <v>48</v>
      </c>
      <c r="AT27" s="31">
        <f t="shared" si="10"/>
        <v>49</v>
      </c>
      <c r="AU27" s="31">
        <f t="shared" si="10"/>
        <v>50</v>
      </c>
      <c r="AV27" s="31">
        <f t="shared" si="10"/>
        <v>51</v>
      </c>
      <c r="AW27" s="31">
        <f t="shared" si="10"/>
        <v>52</v>
      </c>
      <c r="AX27" s="31">
        <f t="shared" si="10"/>
        <v>53</v>
      </c>
      <c r="AY27" s="31">
        <f t="shared" si="10"/>
        <v>54</v>
      </c>
      <c r="AZ27" s="31">
        <f t="shared" si="10"/>
        <v>55</v>
      </c>
      <c r="BA27" s="31">
        <f t="shared" si="10"/>
        <v>56</v>
      </c>
      <c r="BB27" s="31">
        <f t="shared" si="10"/>
        <v>57</v>
      </c>
      <c r="BC27" s="31">
        <f t="shared" si="10"/>
        <v>58</v>
      </c>
      <c r="BD27" s="31">
        <f t="shared" si="10"/>
        <v>59</v>
      </c>
      <c r="BE27" s="31">
        <f t="shared" si="10"/>
        <v>60</v>
      </c>
      <c r="BF27" s="31">
        <f t="shared" si="10"/>
        <v>61</v>
      </c>
      <c r="BG27" s="31">
        <f t="shared" si="10"/>
        <v>62</v>
      </c>
      <c r="BH27" s="31">
        <f t="shared" si="10"/>
        <v>63</v>
      </c>
      <c r="BI27" s="31">
        <f t="shared" si="10"/>
        <v>64</v>
      </c>
      <c r="BJ27" s="31">
        <f t="shared" si="10"/>
        <v>65</v>
      </c>
      <c r="BK27" s="31">
        <f t="shared" si="10"/>
        <v>66</v>
      </c>
      <c r="BL27" s="31">
        <f t="shared" si="10"/>
        <v>67</v>
      </c>
      <c r="BM27" s="31">
        <f t="shared" si="10"/>
        <v>68</v>
      </c>
      <c r="BN27" s="31">
        <f t="shared" si="10"/>
        <v>69</v>
      </c>
      <c r="BO27" s="31">
        <f t="shared" si="10"/>
        <v>70</v>
      </c>
      <c r="BP27" s="31">
        <f t="shared" ref="BP27:CJ27" si="11">BO27+1</f>
        <v>71</v>
      </c>
      <c r="BQ27" s="31">
        <f t="shared" si="11"/>
        <v>72</v>
      </c>
      <c r="BR27" s="31">
        <f t="shared" si="11"/>
        <v>73</v>
      </c>
      <c r="BS27" s="31">
        <f t="shared" si="11"/>
        <v>74</v>
      </c>
      <c r="BT27" s="31">
        <f t="shared" si="11"/>
        <v>75</v>
      </c>
      <c r="BU27" s="31">
        <f t="shared" si="11"/>
        <v>76</v>
      </c>
      <c r="BV27" s="31">
        <f t="shared" si="11"/>
        <v>77</v>
      </c>
      <c r="BW27" s="31">
        <f t="shared" si="11"/>
        <v>78</v>
      </c>
      <c r="BX27" s="31">
        <f t="shared" si="11"/>
        <v>79</v>
      </c>
      <c r="BY27" s="31">
        <f t="shared" si="11"/>
        <v>80</v>
      </c>
      <c r="BZ27" s="31">
        <f t="shared" si="11"/>
        <v>81</v>
      </c>
      <c r="CA27" s="31">
        <f t="shared" si="11"/>
        <v>82</v>
      </c>
      <c r="CB27" s="31">
        <f t="shared" si="11"/>
        <v>83</v>
      </c>
      <c r="CC27" s="31">
        <f t="shared" si="11"/>
        <v>84</v>
      </c>
      <c r="CD27" s="31">
        <f t="shared" si="11"/>
        <v>85</v>
      </c>
      <c r="CE27" s="31">
        <f t="shared" si="11"/>
        <v>86</v>
      </c>
      <c r="CF27" s="31">
        <f t="shared" si="11"/>
        <v>87</v>
      </c>
      <c r="CG27" s="31">
        <f t="shared" si="11"/>
        <v>88</v>
      </c>
      <c r="CH27" s="31">
        <f t="shared" si="11"/>
        <v>89</v>
      </c>
      <c r="CI27" s="31">
        <f t="shared" si="11"/>
        <v>90</v>
      </c>
      <c r="CJ27" s="31">
        <f t="shared" si="11"/>
        <v>91</v>
      </c>
    </row>
    <row r="28" spans="1:88">
      <c r="A28" s="135" t="s">
        <v>21</v>
      </c>
      <c r="B28" s="32">
        <v>0</v>
      </c>
      <c r="C28" s="32">
        <v>0</v>
      </c>
      <c r="D28" s="32">
        <v>80</v>
      </c>
      <c r="E28" s="32">
        <v>0</v>
      </c>
      <c r="F28" s="32">
        <v>0</v>
      </c>
      <c r="G28" s="32">
        <v>0</v>
      </c>
      <c r="H28" s="32">
        <v>0</v>
      </c>
      <c r="I28" s="32">
        <v>0</v>
      </c>
      <c r="J28" s="32">
        <v>0</v>
      </c>
      <c r="K28" s="32">
        <v>0</v>
      </c>
      <c r="L28" s="32">
        <v>0</v>
      </c>
      <c r="M28" s="32">
        <v>0</v>
      </c>
      <c r="N28" s="32">
        <v>0</v>
      </c>
      <c r="O28" s="32">
        <v>0</v>
      </c>
      <c r="P28" s="32">
        <v>0</v>
      </c>
      <c r="Q28" s="32">
        <v>0</v>
      </c>
      <c r="R28" s="32">
        <v>0</v>
      </c>
      <c r="S28" s="32">
        <v>0</v>
      </c>
      <c r="T28" s="32">
        <v>0</v>
      </c>
      <c r="U28" s="32">
        <v>1</v>
      </c>
      <c r="V28" s="32">
        <v>0</v>
      </c>
      <c r="W28" s="32">
        <v>0</v>
      </c>
      <c r="X28" s="32">
        <v>0</v>
      </c>
      <c r="Y28" s="32">
        <v>0</v>
      </c>
      <c r="Z28" s="32">
        <v>0</v>
      </c>
      <c r="AA28" s="32">
        <v>0</v>
      </c>
      <c r="AB28" s="32">
        <v>0</v>
      </c>
      <c r="AC28" s="32">
        <v>0</v>
      </c>
      <c r="AD28" s="32">
        <v>0</v>
      </c>
      <c r="AE28" s="32">
        <v>1</v>
      </c>
      <c r="AF28" s="32">
        <v>0</v>
      </c>
      <c r="AG28" s="32">
        <v>0</v>
      </c>
      <c r="AH28" s="32">
        <v>0</v>
      </c>
      <c r="AI28" s="32">
        <v>0</v>
      </c>
      <c r="AJ28" s="32">
        <v>0</v>
      </c>
      <c r="AK28" s="32">
        <v>0</v>
      </c>
      <c r="AL28" s="32">
        <v>0</v>
      </c>
      <c r="AM28" s="32">
        <v>0</v>
      </c>
      <c r="AN28" s="32">
        <v>0</v>
      </c>
      <c r="AO28" s="32">
        <v>0</v>
      </c>
      <c r="AP28" s="32">
        <v>0</v>
      </c>
      <c r="AQ28" s="32">
        <v>0</v>
      </c>
      <c r="AR28" s="32">
        <v>0</v>
      </c>
      <c r="AS28" s="32">
        <v>0</v>
      </c>
      <c r="AT28" s="32">
        <v>0</v>
      </c>
      <c r="AU28" s="32">
        <v>0</v>
      </c>
      <c r="AV28" s="32">
        <v>0</v>
      </c>
      <c r="AW28" s="32">
        <v>0</v>
      </c>
      <c r="AX28" s="32">
        <v>0</v>
      </c>
      <c r="AY28" s="32">
        <v>0</v>
      </c>
      <c r="AZ28" s="32">
        <v>0</v>
      </c>
      <c r="BA28" s="32">
        <v>0</v>
      </c>
      <c r="BB28" s="32">
        <v>0</v>
      </c>
      <c r="BC28" s="32">
        <v>0</v>
      </c>
      <c r="BD28" s="32">
        <v>0</v>
      </c>
      <c r="BE28" s="32">
        <v>0</v>
      </c>
      <c r="BF28" s="32">
        <v>0</v>
      </c>
      <c r="BG28" s="32">
        <v>0</v>
      </c>
      <c r="BH28" s="32">
        <v>0</v>
      </c>
      <c r="BI28" s="32">
        <v>0</v>
      </c>
      <c r="BJ28" s="32">
        <v>0</v>
      </c>
      <c r="BK28" s="32">
        <v>0</v>
      </c>
      <c r="BL28" s="32">
        <v>0</v>
      </c>
      <c r="BM28" s="32">
        <v>0</v>
      </c>
      <c r="BN28" s="32">
        <v>0</v>
      </c>
      <c r="BO28" s="32">
        <v>0</v>
      </c>
      <c r="BP28" s="32">
        <v>0</v>
      </c>
      <c r="BQ28" s="32">
        <v>0</v>
      </c>
      <c r="BR28" s="32">
        <v>0</v>
      </c>
      <c r="BS28" s="32">
        <v>0</v>
      </c>
      <c r="BT28" s="32">
        <v>0</v>
      </c>
      <c r="BU28" s="32">
        <v>0</v>
      </c>
      <c r="BV28" s="32">
        <v>0</v>
      </c>
      <c r="BW28" s="32">
        <v>0</v>
      </c>
      <c r="BX28" s="32">
        <v>0</v>
      </c>
      <c r="BY28" s="32">
        <v>0</v>
      </c>
      <c r="BZ28" s="32">
        <v>0</v>
      </c>
      <c r="CA28" s="32">
        <v>0</v>
      </c>
      <c r="CB28" s="32">
        <v>0</v>
      </c>
      <c r="CC28" s="32">
        <v>0</v>
      </c>
      <c r="CD28" s="32">
        <v>0</v>
      </c>
      <c r="CE28" s="32">
        <v>0</v>
      </c>
      <c r="CF28" s="32">
        <v>0</v>
      </c>
      <c r="CG28" s="32">
        <v>0</v>
      </c>
      <c r="CH28" s="32">
        <v>0</v>
      </c>
      <c r="CI28" s="32">
        <v>0</v>
      </c>
      <c r="CJ28" s="32">
        <v>0</v>
      </c>
    </row>
    <row r="29" spans="1:88">
      <c r="A29" s="136"/>
      <c r="B29" s="39" t="str">
        <f t="shared" ref="B29:L29" ca="1" si="12">DEC2HEX(B28,INDIRECT("'parameters recipe'!$C"&amp;B$27))</f>
        <v>0</v>
      </c>
      <c r="C29" s="39" t="e">
        <f t="shared" ca="1" si="12"/>
        <v>#NUM!</v>
      </c>
      <c r="D29" s="39" t="e">
        <f t="shared" ca="1" si="12"/>
        <v>#NUM!</v>
      </c>
      <c r="E29" s="39" t="e">
        <f t="shared" ca="1" si="12"/>
        <v>#NUM!</v>
      </c>
      <c r="F29" s="39" t="str">
        <f t="shared" ca="1" si="12"/>
        <v>0</v>
      </c>
      <c r="G29" s="39" t="e">
        <f t="shared" ca="1" si="12"/>
        <v>#NUM!</v>
      </c>
      <c r="H29" s="39" t="str">
        <f t="shared" ca="1" si="12"/>
        <v>0</v>
      </c>
      <c r="I29" s="39" t="e">
        <f t="shared" ca="1" si="12"/>
        <v>#NUM!</v>
      </c>
      <c r="J29" s="39" t="str">
        <f t="shared" ca="1" si="12"/>
        <v>0</v>
      </c>
      <c r="K29" s="39" t="e">
        <f t="shared" ca="1" si="12"/>
        <v>#NUM!</v>
      </c>
      <c r="L29" s="39" t="str">
        <f t="shared" ca="1" si="12"/>
        <v>0</v>
      </c>
      <c r="M29" s="123" t="str">
        <f>BIN2HEX(CONCATENATE(M28,N28,O28,P28,Q28,R28,S28,T28),2)</f>
        <v>00</v>
      </c>
      <c r="N29" s="124"/>
      <c r="O29" s="124"/>
      <c r="P29" s="124"/>
      <c r="Q29" s="124"/>
      <c r="R29" s="124"/>
      <c r="S29" s="124"/>
      <c r="T29" s="125"/>
      <c r="U29" s="39" t="e">
        <f ca="1">DEC2HEX(U28,INDIRECT("'parameters recipe'!$C"&amp;U$27))</f>
        <v>#NUM!</v>
      </c>
      <c r="V29" s="39" t="e">
        <f ca="1">DEC2HEX(V28,INDIRECT("'parameters recipe'!$C"&amp;V$27))</f>
        <v>#NUM!</v>
      </c>
      <c r="W29" s="39" t="e">
        <f ca="1">DEC2HEX(W28,INDIRECT("'parameters recipe'!$C"&amp;W$27))</f>
        <v>#NUM!</v>
      </c>
      <c r="X29" s="39" t="e">
        <f ca="1">DEC2HEX(X28,INDIRECT("'parameters recipe'!$C"&amp;X$27))</f>
        <v>#NUM!</v>
      </c>
      <c r="Y29" s="123" t="str">
        <f>BIN2HEX(CONCATENATE(Y28,Z28,AA28,AB28,AC28,AD28,AE28,AF28),2)</f>
        <v>02</v>
      </c>
      <c r="Z29" s="124"/>
      <c r="AA29" s="124"/>
      <c r="AB29" s="124"/>
      <c r="AC29" s="124"/>
      <c r="AD29" s="124"/>
      <c r="AE29" s="124"/>
      <c r="AF29" s="125"/>
      <c r="AG29" s="123" t="str">
        <f>BIN2HEX(CONCATENATE(AG28,AH28,AI28,AJ28,AK28,AL28,AM28,AN28),2)</f>
        <v>00</v>
      </c>
      <c r="AH29" s="124"/>
      <c r="AI29" s="124"/>
      <c r="AJ29" s="124"/>
      <c r="AK29" s="124"/>
      <c r="AL29" s="124"/>
      <c r="AM29" s="124"/>
      <c r="AN29" s="125"/>
      <c r="AO29" s="123" t="str">
        <f>BIN2HEX(CONCATENATE(AO28,AP28,AQ28,AR28,AS28,AT28,AU28,AV28),2)</f>
        <v>00</v>
      </c>
      <c r="AP29" s="124"/>
      <c r="AQ29" s="124"/>
      <c r="AR29" s="124"/>
      <c r="AS29" s="124"/>
      <c r="AT29" s="124"/>
      <c r="AU29" s="124"/>
      <c r="AV29" s="125"/>
      <c r="AW29" s="123" t="str">
        <f>BIN2HEX(CONCATENATE(AW28,AX28,AY28,AZ28,BA28,BB28,BC28,BD28),2)</f>
        <v>00</v>
      </c>
      <c r="AX29" s="124"/>
      <c r="AY29" s="124"/>
      <c r="AZ29" s="124"/>
      <c r="BA29" s="124"/>
      <c r="BB29" s="124"/>
      <c r="BC29" s="124"/>
      <c r="BD29" s="125"/>
      <c r="BE29" s="123" t="str">
        <f>BIN2HEX(CONCATENATE(BE28,BF28,BG28,BH28,BI28,BJ28,BK28,BL28),2)</f>
        <v>00</v>
      </c>
      <c r="BF29" s="124"/>
      <c r="BG29" s="124"/>
      <c r="BH29" s="124"/>
      <c r="BI29" s="124"/>
      <c r="BJ29" s="124"/>
      <c r="BK29" s="124"/>
      <c r="BL29" s="125"/>
      <c r="BM29" s="123" t="str">
        <f>BIN2HEX(CONCATENATE(BM28,BN28,BO28,BP28,BQ28,BR28,BS28,BT28),2)</f>
        <v>00</v>
      </c>
      <c r="BN29" s="124"/>
      <c r="BO29" s="124"/>
      <c r="BP29" s="124"/>
      <c r="BQ29" s="124"/>
      <c r="BR29" s="124"/>
      <c r="BS29" s="124"/>
      <c r="BT29" s="125"/>
      <c r="BU29" s="123" t="str">
        <f>BIN2HEX(CONCATENATE(BU28,BV28,BW28,BX28,BY28,BZ28,CA28,CB28),2)</f>
        <v>00</v>
      </c>
      <c r="BV29" s="124"/>
      <c r="BW29" s="124"/>
      <c r="BX29" s="124"/>
      <c r="BY29" s="124"/>
      <c r="BZ29" s="124"/>
      <c r="CA29" s="124"/>
      <c r="CB29" s="125"/>
      <c r="CC29" s="123" t="str">
        <f>BIN2HEX(CONCATENATE(CC28,CD28,CE28,CF28,CG28,CH28,CI28,CJ28),2)</f>
        <v>00</v>
      </c>
      <c r="CD29" s="124"/>
      <c r="CE29" s="124"/>
      <c r="CF29" s="124"/>
      <c r="CG29" s="124"/>
      <c r="CH29" s="124"/>
      <c r="CI29" s="124"/>
      <c r="CJ29" s="125"/>
    </row>
    <row r="30" spans="1:88">
      <c r="A30" s="135" t="s">
        <v>11</v>
      </c>
      <c r="B30" s="32">
        <v>95</v>
      </c>
      <c r="C30" s="32">
        <v>0</v>
      </c>
      <c r="D30" s="32">
        <v>85</v>
      </c>
      <c r="E30" s="32">
        <v>0</v>
      </c>
      <c r="F30" s="32">
        <v>30</v>
      </c>
      <c r="G30" s="32">
        <v>0</v>
      </c>
      <c r="H30" s="32">
        <v>0</v>
      </c>
      <c r="I30" s="32">
        <v>0</v>
      </c>
      <c r="J30" s="32">
        <v>0</v>
      </c>
      <c r="K30" s="32">
        <v>5</v>
      </c>
      <c r="L30" s="32">
        <v>0</v>
      </c>
      <c r="M30" s="32">
        <v>1</v>
      </c>
      <c r="N30" s="32">
        <v>1</v>
      </c>
      <c r="O30" s="32">
        <v>0</v>
      </c>
      <c r="P30" s="32">
        <v>1</v>
      </c>
      <c r="Q30" s="32">
        <v>0</v>
      </c>
      <c r="R30" s="32">
        <v>0</v>
      </c>
      <c r="S30" s="32">
        <v>0</v>
      </c>
      <c r="T30" s="32">
        <v>0</v>
      </c>
      <c r="U30" s="32">
        <v>1</v>
      </c>
      <c r="V30" s="32">
        <v>0</v>
      </c>
      <c r="W30" s="32">
        <v>1</v>
      </c>
      <c r="X30" s="32">
        <v>0</v>
      </c>
      <c r="Y30" s="32">
        <v>0</v>
      </c>
      <c r="Z30" s="32">
        <v>0</v>
      </c>
      <c r="AA30" s="32">
        <v>0</v>
      </c>
      <c r="AB30" s="32">
        <v>0</v>
      </c>
      <c r="AC30" s="32">
        <v>0</v>
      </c>
      <c r="AD30" s="32">
        <v>0</v>
      </c>
      <c r="AE30" s="32">
        <v>0</v>
      </c>
      <c r="AF30" s="32">
        <v>1</v>
      </c>
      <c r="AG30" s="32">
        <v>0</v>
      </c>
      <c r="AH30" s="32">
        <v>0</v>
      </c>
      <c r="AI30" s="32">
        <v>0</v>
      </c>
      <c r="AJ30" s="32">
        <v>0</v>
      </c>
      <c r="AK30" s="32">
        <v>0</v>
      </c>
      <c r="AL30" s="32">
        <v>0</v>
      </c>
      <c r="AM30" s="32">
        <v>0</v>
      </c>
      <c r="AN30" s="32">
        <v>0</v>
      </c>
      <c r="AO30" s="32">
        <v>0</v>
      </c>
      <c r="AP30" s="32">
        <v>0</v>
      </c>
      <c r="AQ30" s="32">
        <v>0</v>
      </c>
      <c r="AR30" s="32">
        <v>0</v>
      </c>
      <c r="AS30" s="32">
        <v>0</v>
      </c>
      <c r="AT30" s="32">
        <v>0</v>
      </c>
      <c r="AU30" s="32">
        <v>0</v>
      </c>
      <c r="AV30" s="32">
        <v>0</v>
      </c>
      <c r="AW30" s="32">
        <v>0</v>
      </c>
      <c r="AX30" s="32">
        <v>0</v>
      </c>
      <c r="AY30" s="32">
        <v>0</v>
      </c>
      <c r="AZ30" s="32">
        <v>0</v>
      </c>
      <c r="BA30" s="32">
        <v>0</v>
      </c>
      <c r="BB30" s="32">
        <v>0</v>
      </c>
      <c r="BC30" s="32">
        <v>0</v>
      </c>
      <c r="BD30" s="32">
        <v>0</v>
      </c>
      <c r="BE30" s="32">
        <v>0</v>
      </c>
      <c r="BF30" s="32">
        <v>0</v>
      </c>
      <c r="BG30" s="32">
        <v>0</v>
      </c>
      <c r="BH30" s="32">
        <v>0</v>
      </c>
      <c r="BI30" s="32">
        <v>0</v>
      </c>
      <c r="BJ30" s="32">
        <v>0</v>
      </c>
      <c r="BK30" s="32">
        <v>0</v>
      </c>
      <c r="BL30" s="32">
        <v>0</v>
      </c>
      <c r="BM30" s="32">
        <v>0</v>
      </c>
      <c r="BN30" s="32">
        <v>0</v>
      </c>
      <c r="BO30" s="32">
        <v>0</v>
      </c>
      <c r="BP30" s="32">
        <v>0</v>
      </c>
      <c r="BQ30" s="32">
        <v>0</v>
      </c>
      <c r="BR30" s="32">
        <v>0</v>
      </c>
      <c r="BS30" s="32">
        <v>0</v>
      </c>
      <c r="BT30" s="32">
        <v>0</v>
      </c>
      <c r="BU30" s="32">
        <v>0</v>
      </c>
      <c r="BV30" s="32">
        <v>0</v>
      </c>
      <c r="BW30" s="32">
        <v>0</v>
      </c>
      <c r="BX30" s="32">
        <v>0</v>
      </c>
      <c r="BY30" s="32">
        <v>0</v>
      </c>
      <c r="BZ30" s="32">
        <v>0</v>
      </c>
      <c r="CA30" s="32">
        <v>0</v>
      </c>
      <c r="CB30" s="32">
        <v>0</v>
      </c>
      <c r="CC30" s="32">
        <v>0</v>
      </c>
      <c r="CD30" s="32">
        <v>0</v>
      </c>
      <c r="CE30" s="32">
        <v>0</v>
      </c>
      <c r="CF30" s="32">
        <v>0</v>
      </c>
      <c r="CG30" s="32">
        <v>0</v>
      </c>
      <c r="CH30" s="32">
        <v>0</v>
      </c>
      <c r="CI30" s="32">
        <v>0</v>
      </c>
      <c r="CJ30" s="32">
        <v>0</v>
      </c>
    </row>
    <row r="31" spans="1:88" hidden="1">
      <c r="A31" s="136"/>
      <c r="B31" s="39" t="e">
        <f t="shared" ref="B31:L31" ca="1" si="13">DEC2HEX(B30,INDIRECT("'parameters recipe'!$C"&amp;B$27))</f>
        <v>#NUM!</v>
      </c>
      <c r="C31" s="39" t="e">
        <f t="shared" ca="1" si="13"/>
        <v>#NUM!</v>
      </c>
      <c r="D31" s="39" t="e">
        <f t="shared" ca="1" si="13"/>
        <v>#NUM!</v>
      </c>
      <c r="E31" s="39" t="e">
        <f t="shared" ca="1" si="13"/>
        <v>#NUM!</v>
      </c>
      <c r="F31" s="39" t="e">
        <f t="shared" ca="1" si="13"/>
        <v>#NUM!</v>
      </c>
      <c r="G31" s="39" t="e">
        <f t="shared" ca="1" si="13"/>
        <v>#NUM!</v>
      </c>
      <c r="H31" s="39" t="str">
        <f t="shared" ca="1" si="13"/>
        <v>0</v>
      </c>
      <c r="I31" s="39" t="e">
        <f t="shared" ca="1" si="13"/>
        <v>#NUM!</v>
      </c>
      <c r="J31" s="39" t="str">
        <f t="shared" ca="1" si="13"/>
        <v>0</v>
      </c>
      <c r="K31" s="39" t="e">
        <f t="shared" ca="1" si="13"/>
        <v>#NUM!</v>
      </c>
      <c r="L31" s="39" t="str">
        <f t="shared" ca="1" si="13"/>
        <v>0</v>
      </c>
      <c r="M31" s="123" t="str">
        <f>BIN2HEX(CONCATENATE(M30,N30,O30,P30,Q30,R30,S30,T30),2)</f>
        <v>D0</v>
      </c>
      <c r="N31" s="124"/>
      <c r="O31" s="124"/>
      <c r="P31" s="124"/>
      <c r="Q31" s="124"/>
      <c r="R31" s="124"/>
      <c r="S31" s="124"/>
      <c r="T31" s="125"/>
      <c r="U31" s="39" t="e">
        <f ca="1">DEC2HEX(U30,INDIRECT("'parameters recipe'!$C"&amp;U$27))</f>
        <v>#NUM!</v>
      </c>
      <c r="V31" s="39" t="e">
        <f ca="1">DEC2HEX(V30,INDIRECT("'parameters recipe'!$C"&amp;V$27))</f>
        <v>#NUM!</v>
      </c>
      <c r="W31" s="39" t="e">
        <f ca="1">DEC2HEX(W30,INDIRECT("'parameters recipe'!$C"&amp;W$27))</f>
        <v>#NUM!</v>
      </c>
      <c r="X31" s="39" t="e">
        <f ca="1">DEC2HEX(X30,INDIRECT("'parameters recipe'!$C"&amp;X$27))</f>
        <v>#NUM!</v>
      </c>
      <c r="Y31" s="123" t="str">
        <f>BIN2HEX(CONCATENATE(Y30,Z30,AA30,AB30,AC30,AD30,AE30,AF30),2)</f>
        <v>01</v>
      </c>
      <c r="Z31" s="124"/>
      <c r="AA31" s="124"/>
      <c r="AB31" s="124"/>
      <c r="AC31" s="124"/>
      <c r="AD31" s="124"/>
      <c r="AE31" s="124"/>
      <c r="AF31" s="125"/>
      <c r="AG31" s="123" t="str">
        <f>BIN2HEX(CONCATENATE(AG30,AH30,AI30,AJ30,AK30,AL30,AM30,AN30),2)</f>
        <v>00</v>
      </c>
      <c r="AH31" s="124"/>
      <c r="AI31" s="124"/>
      <c r="AJ31" s="124"/>
      <c r="AK31" s="124"/>
      <c r="AL31" s="124"/>
      <c r="AM31" s="124"/>
      <c r="AN31" s="125"/>
      <c r="AO31" s="123" t="str">
        <f>BIN2HEX(CONCATENATE(AO30,AP30,AQ30,AR30,AS30,AT30,AU30,AV30),2)</f>
        <v>00</v>
      </c>
      <c r="AP31" s="124"/>
      <c r="AQ31" s="124"/>
      <c r="AR31" s="124"/>
      <c r="AS31" s="124"/>
      <c r="AT31" s="124"/>
      <c r="AU31" s="124"/>
      <c r="AV31" s="125"/>
      <c r="AW31" s="123" t="str">
        <f>BIN2HEX(CONCATENATE(AW30,AX30,AY30,AZ30,BA30,BB30,BC30,BD30),2)</f>
        <v>00</v>
      </c>
      <c r="AX31" s="124"/>
      <c r="AY31" s="124"/>
      <c r="AZ31" s="124"/>
      <c r="BA31" s="124"/>
      <c r="BB31" s="124"/>
      <c r="BC31" s="124"/>
      <c r="BD31" s="125"/>
      <c r="BE31" s="123" t="str">
        <f>BIN2HEX(CONCATENATE(BE30,BF30,BG30,BH30,BI30,BJ30,BK30,BL30),2)</f>
        <v>00</v>
      </c>
      <c r="BF31" s="124"/>
      <c r="BG31" s="124"/>
      <c r="BH31" s="124"/>
      <c r="BI31" s="124"/>
      <c r="BJ31" s="124"/>
      <c r="BK31" s="124"/>
      <c r="BL31" s="125"/>
      <c r="BM31" s="123" t="str">
        <f>BIN2HEX(CONCATENATE(BM30,BN30,BO30,BP30,BQ30,BR30,BS30,BT30),2)</f>
        <v>00</v>
      </c>
      <c r="BN31" s="124"/>
      <c r="BO31" s="124"/>
      <c r="BP31" s="124"/>
      <c r="BQ31" s="124"/>
      <c r="BR31" s="124"/>
      <c r="BS31" s="124"/>
      <c r="BT31" s="125"/>
      <c r="BU31" s="123" t="str">
        <f>BIN2HEX(CONCATENATE(BU30,BV30,BW30,BX30,BY30,BZ30,CA30,CB30),2)</f>
        <v>00</v>
      </c>
      <c r="BV31" s="124"/>
      <c r="BW31" s="124"/>
      <c r="BX31" s="124"/>
      <c r="BY31" s="124"/>
      <c r="BZ31" s="124"/>
      <c r="CA31" s="124"/>
      <c r="CB31" s="125"/>
      <c r="CC31" s="123" t="str">
        <f>BIN2HEX(CONCATENATE(CC30,CD30,CE30,CF30,CG30,CH30,CI30,CJ30),2)</f>
        <v>00</v>
      </c>
      <c r="CD31" s="124"/>
      <c r="CE31" s="124"/>
      <c r="CF31" s="124"/>
      <c r="CG31" s="124"/>
      <c r="CH31" s="124"/>
      <c r="CI31" s="124"/>
      <c r="CJ31" s="125"/>
    </row>
    <row r="32" spans="1:88">
      <c r="A32" s="135" t="s">
        <v>12</v>
      </c>
      <c r="B32" s="32">
        <v>95</v>
      </c>
      <c r="C32" s="32">
        <v>0</v>
      </c>
      <c r="D32" s="32">
        <v>85</v>
      </c>
      <c r="E32" s="32">
        <v>0</v>
      </c>
      <c r="F32" s="32">
        <v>20</v>
      </c>
      <c r="G32" s="32">
        <v>0</v>
      </c>
      <c r="H32" s="32">
        <v>0</v>
      </c>
      <c r="I32" s="32">
        <v>0</v>
      </c>
      <c r="J32" s="32">
        <v>0</v>
      </c>
      <c r="K32" s="32">
        <v>40</v>
      </c>
      <c r="L32" s="32">
        <v>0</v>
      </c>
      <c r="M32" s="32">
        <v>1</v>
      </c>
      <c r="N32" s="32">
        <v>1</v>
      </c>
      <c r="O32" s="32">
        <v>0</v>
      </c>
      <c r="P32" s="32">
        <v>1</v>
      </c>
      <c r="Q32" s="32">
        <v>0</v>
      </c>
      <c r="R32" s="32">
        <v>0</v>
      </c>
      <c r="S32" s="32">
        <v>0</v>
      </c>
      <c r="T32" s="32">
        <v>0</v>
      </c>
      <c r="U32" s="32">
        <v>1</v>
      </c>
      <c r="V32" s="32">
        <v>0</v>
      </c>
      <c r="W32" s="32">
        <v>1</v>
      </c>
      <c r="X32" s="32">
        <v>0</v>
      </c>
      <c r="Y32" s="32">
        <v>0</v>
      </c>
      <c r="Z32" s="32">
        <v>0</v>
      </c>
      <c r="AA32" s="32">
        <v>0</v>
      </c>
      <c r="AB32" s="32">
        <v>0</v>
      </c>
      <c r="AC32" s="32">
        <v>0</v>
      </c>
      <c r="AD32" s="32">
        <v>0</v>
      </c>
      <c r="AE32" s="32">
        <v>0</v>
      </c>
      <c r="AF32" s="32">
        <v>1</v>
      </c>
      <c r="AG32" s="32">
        <v>0</v>
      </c>
      <c r="AH32" s="32">
        <v>0</v>
      </c>
      <c r="AI32" s="32">
        <v>0</v>
      </c>
      <c r="AJ32" s="32">
        <v>0</v>
      </c>
      <c r="AK32" s="32">
        <v>0</v>
      </c>
      <c r="AL32" s="32">
        <v>0</v>
      </c>
      <c r="AM32" s="32">
        <v>0</v>
      </c>
      <c r="AN32" s="32">
        <v>0</v>
      </c>
      <c r="AO32" s="32">
        <v>0</v>
      </c>
      <c r="AP32" s="32">
        <v>0</v>
      </c>
      <c r="AQ32" s="32">
        <v>0</v>
      </c>
      <c r="AR32" s="32">
        <v>0</v>
      </c>
      <c r="AS32" s="32">
        <v>0</v>
      </c>
      <c r="AT32" s="32">
        <v>0</v>
      </c>
      <c r="AU32" s="32">
        <v>0</v>
      </c>
      <c r="AV32" s="32">
        <v>0</v>
      </c>
      <c r="AW32" s="32">
        <v>0</v>
      </c>
      <c r="AX32" s="32">
        <v>0</v>
      </c>
      <c r="AY32" s="32">
        <v>0</v>
      </c>
      <c r="AZ32" s="32">
        <v>0</v>
      </c>
      <c r="BA32" s="32">
        <v>0</v>
      </c>
      <c r="BB32" s="32">
        <v>0</v>
      </c>
      <c r="BC32" s="32">
        <v>0</v>
      </c>
      <c r="BD32" s="32">
        <v>0</v>
      </c>
      <c r="BE32" s="32">
        <v>0</v>
      </c>
      <c r="BF32" s="32">
        <v>0</v>
      </c>
      <c r="BG32" s="32">
        <v>0</v>
      </c>
      <c r="BH32" s="32">
        <v>0</v>
      </c>
      <c r="BI32" s="32">
        <v>0</v>
      </c>
      <c r="BJ32" s="32">
        <v>0</v>
      </c>
      <c r="BK32" s="32">
        <v>0</v>
      </c>
      <c r="BL32" s="32">
        <v>0</v>
      </c>
      <c r="BM32" s="32">
        <v>0</v>
      </c>
      <c r="BN32" s="32">
        <v>0</v>
      </c>
      <c r="BO32" s="32">
        <v>0</v>
      </c>
      <c r="BP32" s="32">
        <v>0</v>
      </c>
      <c r="BQ32" s="32">
        <v>0</v>
      </c>
      <c r="BR32" s="32">
        <v>0</v>
      </c>
      <c r="BS32" s="32">
        <v>0</v>
      </c>
      <c r="BT32" s="32">
        <v>0</v>
      </c>
      <c r="BU32" s="32">
        <v>0</v>
      </c>
      <c r="BV32" s="32">
        <v>0</v>
      </c>
      <c r="BW32" s="32">
        <v>0</v>
      </c>
      <c r="BX32" s="32">
        <v>0</v>
      </c>
      <c r="BY32" s="32">
        <v>0</v>
      </c>
      <c r="BZ32" s="32">
        <v>0</v>
      </c>
      <c r="CA32" s="32">
        <v>0</v>
      </c>
      <c r="CB32" s="32">
        <v>0</v>
      </c>
      <c r="CC32" s="32">
        <v>0</v>
      </c>
      <c r="CD32" s="32">
        <v>0</v>
      </c>
      <c r="CE32" s="32">
        <v>0</v>
      </c>
      <c r="CF32" s="32">
        <v>0</v>
      </c>
      <c r="CG32" s="32">
        <v>0</v>
      </c>
      <c r="CH32" s="32">
        <v>0</v>
      </c>
      <c r="CI32" s="32">
        <v>0</v>
      </c>
      <c r="CJ32" s="32">
        <v>0</v>
      </c>
    </row>
    <row r="33" spans="1:88" hidden="1">
      <c r="A33" s="136"/>
      <c r="B33" s="39" t="e">
        <f t="shared" ref="B33:L33" ca="1" si="14">DEC2HEX(B32,INDIRECT("'parameters recipe'!$C"&amp;B$27))</f>
        <v>#NUM!</v>
      </c>
      <c r="C33" s="39" t="e">
        <f t="shared" ca="1" si="14"/>
        <v>#NUM!</v>
      </c>
      <c r="D33" s="39" t="e">
        <f t="shared" ca="1" si="14"/>
        <v>#NUM!</v>
      </c>
      <c r="E33" s="39" t="e">
        <f t="shared" ca="1" si="14"/>
        <v>#NUM!</v>
      </c>
      <c r="F33" s="39" t="e">
        <f t="shared" ca="1" si="14"/>
        <v>#NUM!</v>
      </c>
      <c r="G33" s="39" t="e">
        <f t="shared" ca="1" si="14"/>
        <v>#NUM!</v>
      </c>
      <c r="H33" s="39" t="str">
        <f t="shared" ca="1" si="14"/>
        <v>0</v>
      </c>
      <c r="I33" s="39" t="e">
        <f t="shared" ca="1" si="14"/>
        <v>#NUM!</v>
      </c>
      <c r="J33" s="39" t="str">
        <f t="shared" ca="1" si="14"/>
        <v>0</v>
      </c>
      <c r="K33" s="39" t="e">
        <f t="shared" ca="1" si="14"/>
        <v>#NUM!</v>
      </c>
      <c r="L33" s="39" t="str">
        <f t="shared" ca="1" si="14"/>
        <v>0</v>
      </c>
      <c r="M33" s="123" t="str">
        <f>BIN2HEX(CONCATENATE(M32,N32,O32,P32,Q32,R32,S32,T32),2)</f>
        <v>D0</v>
      </c>
      <c r="N33" s="124"/>
      <c r="O33" s="124"/>
      <c r="P33" s="124"/>
      <c r="Q33" s="124"/>
      <c r="R33" s="124"/>
      <c r="S33" s="124"/>
      <c r="T33" s="125"/>
      <c r="U33" s="39" t="e">
        <f ca="1">DEC2HEX(U32,INDIRECT("'parameters recipe'!$C"&amp;U$27))</f>
        <v>#NUM!</v>
      </c>
      <c r="V33" s="39" t="e">
        <f ca="1">DEC2HEX(V32,INDIRECT("'parameters recipe'!$C"&amp;V$27))</f>
        <v>#NUM!</v>
      </c>
      <c r="W33" s="39" t="e">
        <f ca="1">DEC2HEX(W32,INDIRECT("'parameters recipe'!$C"&amp;W$27))</f>
        <v>#NUM!</v>
      </c>
      <c r="X33" s="39" t="e">
        <f ca="1">DEC2HEX(X32,INDIRECT("'parameters recipe'!$C"&amp;X$27))</f>
        <v>#NUM!</v>
      </c>
      <c r="Y33" s="123" t="str">
        <f>BIN2HEX(CONCATENATE(Y32,Z32,AA32,AB32,AC32,AD32,AE32,AF32),2)</f>
        <v>01</v>
      </c>
      <c r="Z33" s="124"/>
      <c r="AA33" s="124"/>
      <c r="AB33" s="124"/>
      <c r="AC33" s="124"/>
      <c r="AD33" s="124"/>
      <c r="AE33" s="124"/>
      <c r="AF33" s="125"/>
      <c r="AG33" s="123" t="str">
        <f>BIN2HEX(CONCATENATE(AG32,AH32,AI32,AJ32,AK32,AL32,AM32,AN32),2)</f>
        <v>00</v>
      </c>
      <c r="AH33" s="124"/>
      <c r="AI33" s="124"/>
      <c r="AJ33" s="124"/>
      <c r="AK33" s="124"/>
      <c r="AL33" s="124"/>
      <c r="AM33" s="124"/>
      <c r="AN33" s="125"/>
      <c r="AO33" s="123" t="str">
        <f>BIN2HEX(CONCATENATE(AO32,AP32,AQ32,AR32,AS32,AT32,AU32,AV32),2)</f>
        <v>00</v>
      </c>
      <c r="AP33" s="124"/>
      <c r="AQ33" s="124"/>
      <c r="AR33" s="124"/>
      <c r="AS33" s="124"/>
      <c r="AT33" s="124"/>
      <c r="AU33" s="124"/>
      <c r="AV33" s="125"/>
      <c r="AW33" s="123" t="str">
        <f>BIN2HEX(CONCATENATE(AW32,AX32,AY32,AZ32,BA32,BB32,BC32,BD32),2)</f>
        <v>00</v>
      </c>
      <c r="AX33" s="124"/>
      <c r="AY33" s="124"/>
      <c r="AZ33" s="124"/>
      <c r="BA33" s="124"/>
      <c r="BB33" s="124"/>
      <c r="BC33" s="124"/>
      <c r="BD33" s="125"/>
      <c r="BE33" s="123" t="str">
        <f>BIN2HEX(CONCATENATE(BE32,BF32,BG32,BH32,BI32,BJ32,BK32,BL32),2)</f>
        <v>00</v>
      </c>
      <c r="BF33" s="124"/>
      <c r="BG33" s="124"/>
      <c r="BH33" s="124"/>
      <c r="BI33" s="124"/>
      <c r="BJ33" s="124"/>
      <c r="BK33" s="124"/>
      <c r="BL33" s="125"/>
      <c r="BM33" s="123" t="str">
        <f>BIN2HEX(CONCATENATE(BM32,BN32,BO32,BP32,BQ32,BR32,BS32,BT32),2)</f>
        <v>00</v>
      </c>
      <c r="BN33" s="124"/>
      <c r="BO33" s="124"/>
      <c r="BP33" s="124"/>
      <c r="BQ33" s="124"/>
      <c r="BR33" s="124"/>
      <c r="BS33" s="124"/>
      <c r="BT33" s="125"/>
      <c r="BU33" s="123" t="str">
        <f>BIN2HEX(CONCATENATE(BU32,BV32,BW32,BX32,BY32,BZ32,CA32,CB32),2)</f>
        <v>00</v>
      </c>
      <c r="BV33" s="124"/>
      <c r="BW33" s="124"/>
      <c r="BX33" s="124"/>
      <c r="BY33" s="124"/>
      <c r="BZ33" s="124"/>
      <c r="CA33" s="124"/>
      <c r="CB33" s="125"/>
      <c r="CC33" s="123" t="str">
        <f>BIN2HEX(CONCATENATE(CC32,CD32,CE32,CF32,CG32,CH32,CI32,CJ32),2)</f>
        <v>00</v>
      </c>
      <c r="CD33" s="124"/>
      <c r="CE33" s="124"/>
      <c r="CF33" s="124"/>
      <c r="CG33" s="124"/>
      <c r="CH33" s="124"/>
      <c r="CI33" s="124"/>
      <c r="CJ33" s="125"/>
    </row>
    <row r="34" spans="1:88">
      <c r="A34" s="135" t="s">
        <v>13</v>
      </c>
      <c r="B34" s="32">
        <v>85</v>
      </c>
      <c r="C34" s="32">
        <v>85</v>
      </c>
      <c r="D34" s="32">
        <v>85</v>
      </c>
      <c r="E34" s="32">
        <v>0</v>
      </c>
      <c r="F34" s="32">
        <v>25</v>
      </c>
      <c r="G34" s="32">
        <v>25</v>
      </c>
      <c r="H34" s="32">
        <v>0</v>
      </c>
      <c r="I34" s="32">
        <v>0</v>
      </c>
      <c r="J34" s="32">
        <v>0</v>
      </c>
      <c r="K34" s="32">
        <v>40</v>
      </c>
      <c r="L34" s="32">
        <v>40</v>
      </c>
      <c r="M34" s="32">
        <v>1</v>
      </c>
      <c r="N34" s="32">
        <v>1</v>
      </c>
      <c r="O34" s="32">
        <v>0</v>
      </c>
      <c r="P34" s="32">
        <v>0</v>
      </c>
      <c r="Q34" s="32">
        <v>1</v>
      </c>
      <c r="R34" s="32">
        <v>0</v>
      </c>
      <c r="S34" s="32">
        <v>1</v>
      </c>
      <c r="T34" s="32">
        <v>0</v>
      </c>
      <c r="U34" s="32">
        <v>1</v>
      </c>
      <c r="V34" s="32">
        <v>0</v>
      </c>
      <c r="W34" s="32">
        <v>1</v>
      </c>
      <c r="X34" s="32">
        <v>0</v>
      </c>
      <c r="Y34" s="32">
        <v>0</v>
      </c>
      <c r="Z34" s="32">
        <v>0</v>
      </c>
      <c r="AA34" s="32">
        <v>0</v>
      </c>
      <c r="AB34" s="32">
        <v>0</v>
      </c>
      <c r="AC34" s="32">
        <v>0</v>
      </c>
      <c r="AD34" s="32">
        <v>0</v>
      </c>
      <c r="AE34" s="32">
        <v>0</v>
      </c>
      <c r="AF34" s="32">
        <v>1</v>
      </c>
      <c r="AG34" s="32">
        <v>1</v>
      </c>
      <c r="AH34" s="32">
        <v>0</v>
      </c>
      <c r="AI34" s="32">
        <v>0</v>
      </c>
      <c r="AJ34" s="32">
        <v>0</v>
      </c>
      <c r="AK34" s="32">
        <v>0</v>
      </c>
      <c r="AL34" s="32">
        <v>0</v>
      </c>
      <c r="AM34" s="32">
        <v>0</v>
      </c>
      <c r="AN34" s="32">
        <v>0</v>
      </c>
      <c r="AO34" s="32">
        <v>0</v>
      </c>
      <c r="AP34" s="32">
        <v>0</v>
      </c>
      <c r="AQ34" s="32">
        <v>0</v>
      </c>
      <c r="AR34" s="32">
        <v>0</v>
      </c>
      <c r="AS34" s="32">
        <v>0</v>
      </c>
      <c r="AT34" s="32">
        <v>0</v>
      </c>
      <c r="AU34" s="32">
        <v>0</v>
      </c>
      <c r="AV34" s="32">
        <v>0</v>
      </c>
      <c r="AW34" s="32">
        <v>0</v>
      </c>
      <c r="AX34" s="32">
        <v>0</v>
      </c>
      <c r="AY34" s="32">
        <v>0</v>
      </c>
      <c r="AZ34" s="32">
        <v>0</v>
      </c>
      <c r="BA34" s="32">
        <v>0</v>
      </c>
      <c r="BB34" s="32">
        <v>0</v>
      </c>
      <c r="BC34" s="32">
        <v>0</v>
      </c>
      <c r="BD34" s="32">
        <v>0</v>
      </c>
      <c r="BE34" s="32">
        <v>0</v>
      </c>
      <c r="BF34" s="32">
        <v>0</v>
      </c>
      <c r="BG34" s="32">
        <v>0</v>
      </c>
      <c r="BH34" s="32">
        <v>0</v>
      </c>
      <c r="BI34" s="32">
        <v>0</v>
      </c>
      <c r="BJ34" s="32">
        <v>0</v>
      </c>
      <c r="BK34" s="32">
        <v>0</v>
      </c>
      <c r="BL34" s="32">
        <v>0</v>
      </c>
      <c r="BM34" s="32">
        <v>0</v>
      </c>
      <c r="BN34" s="32">
        <v>0</v>
      </c>
      <c r="BO34" s="32">
        <v>0</v>
      </c>
      <c r="BP34" s="32">
        <v>0</v>
      </c>
      <c r="BQ34" s="32">
        <v>0</v>
      </c>
      <c r="BR34" s="32">
        <v>0</v>
      </c>
      <c r="BS34" s="32">
        <v>0</v>
      </c>
      <c r="BT34" s="32">
        <v>0</v>
      </c>
      <c r="BU34" s="32">
        <v>0</v>
      </c>
      <c r="BV34" s="32">
        <v>0</v>
      </c>
      <c r="BW34" s="32">
        <v>0</v>
      </c>
      <c r="BX34" s="32">
        <v>0</v>
      </c>
      <c r="BY34" s="32">
        <v>0</v>
      </c>
      <c r="BZ34" s="32">
        <v>0</v>
      </c>
      <c r="CA34" s="32">
        <v>0</v>
      </c>
      <c r="CB34" s="32">
        <v>0</v>
      </c>
      <c r="CC34" s="32">
        <v>0</v>
      </c>
      <c r="CD34" s="32">
        <v>0</v>
      </c>
      <c r="CE34" s="32">
        <v>0</v>
      </c>
      <c r="CF34" s="32">
        <v>0</v>
      </c>
      <c r="CG34" s="32">
        <v>0</v>
      </c>
      <c r="CH34" s="32">
        <v>0</v>
      </c>
      <c r="CI34" s="32">
        <v>0</v>
      </c>
      <c r="CJ34" s="32">
        <v>0</v>
      </c>
    </row>
    <row r="35" spans="1:88" hidden="1">
      <c r="A35" s="136"/>
      <c r="B35" s="39" t="e">
        <f t="shared" ref="B35:L35" ca="1" si="15">DEC2HEX(B34,INDIRECT("'parameters recipe'!$C"&amp;B$27))</f>
        <v>#NUM!</v>
      </c>
      <c r="C35" s="39" t="e">
        <f t="shared" ca="1" si="15"/>
        <v>#NUM!</v>
      </c>
      <c r="D35" s="39" t="e">
        <f t="shared" ca="1" si="15"/>
        <v>#NUM!</v>
      </c>
      <c r="E35" s="39" t="e">
        <f t="shared" ca="1" si="15"/>
        <v>#NUM!</v>
      </c>
      <c r="F35" s="39" t="e">
        <f t="shared" ca="1" si="15"/>
        <v>#NUM!</v>
      </c>
      <c r="G35" s="39" t="e">
        <f t="shared" ca="1" si="15"/>
        <v>#NUM!</v>
      </c>
      <c r="H35" s="39" t="str">
        <f t="shared" ca="1" si="15"/>
        <v>0</v>
      </c>
      <c r="I35" s="39" t="e">
        <f t="shared" ca="1" si="15"/>
        <v>#NUM!</v>
      </c>
      <c r="J35" s="39" t="str">
        <f t="shared" ca="1" si="15"/>
        <v>0</v>
      </c>
      <c r="K35" s="39" t="e">
        <f t="shared" ca="1" si="15"/>
        <v>#NUM!</v>
      </c>
      <c r="L35" s="39" t="e">
        <f t="shared" ca="1" si="15"/>
        <v>#NUM!</v>
      </c>
      <c r="M35" s="123" t="str">
        <f>BIN2HEX(CONCATENATE(M34,N34,O34,P34,Q34,R34,S34,T34),2)</f>
        <v>CA</v>
      </c>
      <c r="N35" s="124"/>
      <c r="O35" s="124"/>
      <c r="P35" s="124"/>
      <c r="Q35" s="124"/>
      <c r="R35" s="124"/>
      <c r="S35" s="124"/>
      <c r="T35" s="125"/>
      <c r="U35" s="39" t="e">
        <f ca="1">DEC2HEX(U34,INDIRECT("'parameters recipe'!$C"&amp;U$27))</f>
        <v>#NUM!</v>
      </c>
      <c r="V35" s="39" t="e">
        <f ca="1">DEC2HEX(V34,INDIRECT("'parameters recipe'!$C"&amp;V$27))</f>
        <v>#NUM!</v>
      </c>
      <c r="W35" s="39" t="e">
        <f ca="1">DEC2HEX(W34,INDIRECT("'parameters recipe'!$C"&amp;W$27))</f>
        <v>#NUM!</v>
      </c>
      <c r="X35" s="39" t="e">
        <f ca="1">DEC2HEX(X34,INDIRECT("'parameters recipe'!$C"&amp;X$27))</f>
        <v>#NUM!</v>
      </c>
      <c r="Y35" s="123" t="str">
        <f>BIN2HEX(CONCATENATE(Y34,Z34,AA34,AB34,AC34,AD34,AE34,AF34),2)</f>
        <v>01</v>
      </c>
      <c r="Z35" s="124"/>
      <c r="AA35" s="124"/>
      <c r="AB35" s="124"/>
      <c r="AC35" s="124"/>
      <c r="AD35" s="124"/>
      <c r="AE35" s="124"/>
      <c r="AF35" s="125"/>
      <c r="AG35" s="123" t="str">
        <f>BIN2HEX(CONCATENATE(AG34,AH34,AI34,AJ34,AK34,AL34,AM34,AN34),2)</f>
        <v>80</v>
      </c>
      <c r="AH35" s="124"/>
      <c r="AI35" s="124"/>
      <c r="AJ35" s="124"/>
      <c r="AK35" s="124"/>
      <c r="AL35" s="124"/>
      <c r="AM35" s="124"/>
      <c r="AN35" s="125"/>
      <c r="AO35" s="123" t="str">
        <f>BIN2HEX(CONCATENATE(AO34,AP34,AQ34,AR34,AS34,AT34,AU34,AV34),2)</f>
        <v>00</v>
      </c>
      <c r="AP35" s="124"/>
      <c r="AQ35" s="124"/>
      <c r="AR35" s="124"/>
      <c r="AS35" s="124"/>
      <c r="AT35" s="124"/>
      <c r="AU35" s="124"/>
      <c r="AV35" s="125"/>
      <c r="AW35" s="123" t="str">
        <f>BIN2HEX(CONCATENATE(AW34,AX34,AY34,AZ34,BA34,BB34,BC34,BD34),2)</f>
        <v>00</v>
      </c>
      <c r="AX35" s="124"/>
      <c r="AY35" s="124"/>
      <c r="AZ35" s="124"/>
      <c r="BA35" s="124"/>
      <c r="BB35" s="124"/>
      <c r="BC35" s="124"/>
      <c r="BD35" s="125"/>
      <c r="BE35" s="123" t="str">
        <f>BIN2HEX(CONCATENATE(BE34,BF34,BG34,BH34,BI34,BJ34,BK34,BL34),2)</f>
        <v>00</v>
      </c>
      <c r="BF35" s="124"/>
      <c r="BG35" s="124"/>
      <c r="BH35" s="124"/>
      <c r="BI35" s="124"/>
      <c r="BJ35" s="124"/>
      <c r="BK35" s="124"/>
      <c r="BL35" s="125"/>
      <c r="BM35" s="123" t="str">
        <f>BIN2HEX(CONCATENATE(BM34,BN34,BO34,BP34,BQ34,BR34,BS34,BT34),2)</f>
        <v>00</v>
      </c>
      <c r="BN35" s="124"/>
      <c r="BO35" s="124"/>
      <c r="BP35" s="124"/>
      <c r="BQ35" s="124"/>
      <c r="BR35" s="124"/>
      <c r="BS35" s="124"/>
      <c r="BT35" s="125"/>
      <c r="BU35" s="123" t="str">
        <f>BIN2HEX(CONCATENATE(BU34,BV34,BW34,BX34,BY34,BZ34,CA34,CB34),2)</f>
        <v>00</v>
      </c>
      <c r="BV35" s="124"/>
      <c r="BW35" s="124"/>
      <c r="BX35" s="124"/>
      <c r="BY35" s="124"/>
      <c r="BZ35" s="124"/>
      <c r="CA35" s="124"/>
      <c r="CB35" s="125"/>
      <c r="CC35" s="123" t="str">
        <f>BIN2HEX(CONCATENATE(CC34,CD34,CE34,CF34,CG34,CH34,CI34,CJ34),2)</f>
        <v>00</v>
      </c>
      <c r="CD35" s="124"/>
      <c r="CE35" s="124"/>
      <c r="CF35" s="124"/>
      <c r="CG35" s="124"/>
      <c r="CH35" s="124"/>
      <c r="CI35" s="124"/>
      <c r="CJ35" s="125"/>
    </row>
    <row r="36" spans="1:88">
      <c r="A36" s="135" t="s">
        <v>14</v>
      </c>
      <c r="B36" s="32">
        <v>0</v>
      </c>
      <c r="C36" s="32">
        <v>0</v>
      </c>
      <c r="D36" s="32">
        <v>0</v>
      </c>
      <c r="E36" s="32">
        <v>0</v>
      </c>
      <c r="F36" s="32">
        <v>0</v>
      </c>
      <c r="G36" s="32">
        <v>0</v>
      </c>
      <c r="H36" s="32">
        <v>0</v>
      </c>
      <c r="I36" s="32">
        <v>0</v>
      </c>
      <c r="J36" s="32">
        <v>0</v>
      </c>
      <c r="K36" s="32">
        <v>0</v>
      </c>
      <c r="L36" s="32">
        <v>0</v>
      </c>
      <c r="M36" s="32">
        <v>0</v>
      </c>
      <c r="N36" s="32">
        <v>0</v>
      </c>
      <c r="O36" s="32">
        <v>0</v>
      </c>
      <c r="P36" s="32">
        <v>0</v>
      </c>
      <c r="Q36" s="32">
        <v>0</v>
      </c>
      <c r="R36" s="32">
        <v>0</v>
      </c>
      <c r="S36" s="32">
        <v>0</v>
      </c>
      <c r="T36" s="32">
        <v>0</v>
      </c>
      <c r="U36" s="32">
        <v>0</v>
      </c>
      <c r="V36" s="32">
        <v>0</v>
      </c>
      <c r="W36" s="32">
        <v>0</v>
      </c>
      <c r="X36" s="32">
        <v>0</v>
      </c>
      <c r="Y36" s="32">
        <v>0</v>
      </c>
      <c r="Z36" s="32">
        <v>0</v>
      </c>
      <c r="AA36" s="32">
        <v>0</v>
      </c>
      <c r="AB36" s="32">
        <v>0</v>
      </c>
      <c r="AC36" s="32">
        <v>0</v>
      </c>
      <c r="AD36" s="32">
        <v>0</v>
      </c>
      <c r="AE36" s="32">
        <v>0</v>
      </c>
      <c r="AF36" s="32">
        <v>0</v>
      </c>
      <c r="AG36" s="32">
        <v>0</v>
      </c>
      <c r="AH36" s="32">
        <v>0</v>
      </c>
      <c r="AI36" s="32">
        <v>0</v>
      </c>
      <c r="AJ36" s="32">
        <v>0</v>
      </c>
      <c r="AK36" s="32">
        <v>0</v>
      </c>
      <c r="AL36" s="32">
        <v>0</v>
      </c>
      <c r="AM36" s="32">
        <v>0</v>
      </c>
      <c r="AN36" s="32">
        <v>0</v>
      </c>
      <c r="AO36" s="32">
        <v>0</v>
      </c>
      <c r="AP36" s="32">
        <v>0</v>
      </c>
      <c r="AQ36" s="32">
        <v>0</v>
      </c>
      <c r="AR36" s="32">
        <v>0</v>
      </c>
      <c r="AS36" s="32">
        <v>0</v>
      </c>
      <c r="AT36" s="32">
        <v>0</v>
      </c>
      <c r="AU36" s="32">
        <v>0</v>
      </c>
      <c r="AV36" s="32">
        <v>0</v>
      </c>
      <c r="AW36" s="32">
        <v>0</v>
      </c>
      <c r="AX36" s="32">
        <v>0</v>
      </c>
      <c r="AY36" s="32">
        <v>0</v>
      </c>
      <c r="AZ36" s="32">
        <v>0</v>
      </c>
      <c r="BA36" s="32">
        <v>0</v>
      </c>
      <c r="BB36" s="32">
        <v>0</v>
      </c>
      <c r="BC36" s="32">
        <v>0</v>
      </c>
      <c r="BD36" s="32">
        <v>0</v>
      </c>
      <c r="BE36" s="32">
        <v>0</v>
      </c>
      <c r="BF36" s="32">
        <v>0</v>
      </c>
      <c r="BG36" s="32">
        <v>0</v>
      </c>
      <c r="BH36" s="32">
        <v>0</v>
      </c>
      <c r="BI36" s="32">
        <v>0</v>
      </c>
      <c r="BJ36" s="32">
        <v>0</v>
      </c>
      <c r="BK36" s="32">
        <v>0</v>
      </c>
      <c r="BL36" s="32">
        <v>0</v>
      </c>
      <c r="BM36" s="32">
        <v>0</v>
      </c>
      <c r="BN36" s="32">
        <v>0</v>
      </c>
      <c r="BO36" s="32">
        <v>0</v>
      </c>
      <c r="BP36" s="32">
        <v>0</v>
      </c>
      <c r="BQ36" s="32">
        <v>0</v>
      </c>
      <c r="BR36" s="32">
        <v>0</v>
      </c>
      <c r="BS36" s="32">
        <v>0</v>
      </c>
      <c r="BT36" s="32">
        <v>0</v>
      </c>
      <c r="BU36" s="32">
        <v>0</v>
      </c>
      <c r="BV36" s="32">
        <v>0</v>
      </c>
      <c r="BW36" s="32">
        <v>0</v>
      </c>
      <c r="BX36" s="32">
        <v>0</v>
      </c>
      <c r="BY36" s="32">
        <v>0</v>
      </c>
      <c r="BZ36" s="32">
        <v>0</v>
      </c>
      <c r="CA36" s="32">
        <v>0</v>
      </c>
      <c r="CB36" s="32">
        <v>0</v>
      </c>
      <c r="CC36" s="32">
        <v>0</v>
      </c>
      <c r="CD36" s="32">
        <v>0</v>
      </c>
      <c r="CE36" s="32">
        <v>0</v>
      </c>
      <c r="CF36" s="32">
        <v>0</v>
      </c>
      <c r="CG36" s="32">
        <v>0</v>
      </c>
      <c r="CH36" s="32">
        <v>0</v>
      </c>
      <c r="CI36" s="32">
        <v>0</v>
      </c>
      <c r="CJ36" s="32">
        <v>0</v>
      </c>
    </row>
    <row r="37" spans="1:88" hidden="1">
      <c r="A37" s="136"/>
      <c r="B37" s="39" t="str">
        <f t="shared" ref="B37:L37" ca="1" si="16">DEC2HEX(B36,INDIRECT("'parameters recipe'!$C"&amp;B$27))</f>
        <v>0</v>
      </c>
      <c r="C37" s="39" t="e">
        <f t="shared" ca="1" si="16"/>
        <v>#NUM!</v>
      </c>
      <c r="D37" s="39" t="str">
        <f t="shared" ca="1" si="16"/>
        <v>0</v>
      </c>
      <c r="E37" s="39" t="e">
        <f t="shared" ca="1" si="16"/>
        <v>#NUM!</v>
      </c>
      <c r="F37" s="39" t="str">
        <f t="shared" ca="1" si="16"/>
        <v>0</v>
      </c>
      <c r="G37" s="39" t="e">
        <f t="shared" ca="1" si="16"/>
        <v>#NUM!</v>
      </c>
      <c r="H37" s="39" t="str">
        <f t="shared" ca="1" si="16"/>
        <v>0</v>
      </c>
      <c r="I37" s="39" t="e">
        <f t="shared" ca="1" si="16"/>
        <v>#NUM!</v>
      </c>
      <c r="J37" s="39" t="str">
        <f t="shared" ca="1" si="16"/>
        <v>0</v>
      </c>
      <c r="K37" s="39" t="e">
        <f t="shared" ca="1" si="16"/>
        <v>#NUM!</v>
      </c>
      <c r="L37" s="39" t="str">
        <f t="shared" ca="1" si="16"/>
        <v>0</v>
      </c>
      <c r="M37" s="123" t="str">
        <f>BIN2HEX(CONCATENATE(M36,N36,O36,P36,Q36,R36,S36,T36),2)</f>
        <v>00</v>
      </c>
      <c r="N37" s="124"/>
      <c r="O37" s="124"/>
      <c r="P37" s="124"/>
      <c r="Q37" s="124"/>
      <c r="R37" s="124"/>
      <c r="S37" s="124"/>
      <c r="T37" s="125"/>
      <c r="U37" s="39" t="e">
        <f ca="1">DEC2HEX(U36,INDIRECT("'parameters recipe'!$C"&amp;U$27))</f>
        <v>#NUM!</v>
      </c>
      <c r="V37" s="39" t="e">
        <f ca="1">DEC2HEX(V36,INDIRECT("'parameters recipe'!$C"&amp;V$27))</f>
        <v>#NUM!</v>
      </c>
      <c r="W37" s="39" t="e">
        <f ca="1">DEC2HEX(W36,INDIRECT("'parameters recipe'!$C"&amp;W$27))</f>
        <v>#NUM!</v>
      </c>
      <c r="X37" s="39" t="e">
        <f ca="1">DEC2HEX(X36,INDIRECT("'parameters recipe'!$C"&amp;X$27))</f>
        <v>#NUM!</v>
      </c>
      <c r="Y37" s="123" t="str">
        <f>BIN2HEX(CONCATENATE(Y36,Z36,AA36,AB36,AC36,AD36,AE36,AF36),2)</f>
        <v>00</v>
      </c>
      <c r="Z37" s="124"/>
      <c r="AA37" s="124"/>
      <c r="AB37" s="124"/>
      <c r="AC37" s="124"/>
      <c r="AD37" s="124"/>
      <c r="AE37" s="124"/>
      <c r="AF37" s="125"/>
      <c r="AG37" s="123" t="str">
        <f>BIN2HEX(CONCATENATE(AG36,AH36,AI36,AJ36,AK36,AL36,AM36,AN36),2)</f>
        <v>00</v>
      </c>
      <c r="AH37" s="124"/>
      <c r="AI37" s="124"/>
      <c r="AJ37" s="124"/>
      <c r="AK37" s="124"/>
      <c r="AL37" s="124"/>
      <c r="AM37" s="124"/>
      <c r="AN37" s="125"/>
      <c r="AO37" s="123" t="str">
        <f>BIN2HEX(CONCATENATE(AO36,AP36,AQ36,AR36,AS36,AT36,AU36,AV36),2)</f>
        <v>00</v>
      </c>
      <c r="AP37" s="124"/>
      <c r="AQ37" s="124"/>
      <c r="AR37" s="124"/>
      <c r="AS37" s="124"/>
      <c r="AT37" s="124"/>
      <c r="AU37" s="124"/>
      <c r="AV37" s="125"/>
      <c r="AW37" s="123" t="str">
        <f>BIN2HEX(CONCATENATE(AW36,AX36,AY36,AZ36,BA36,BB36,BC36,BD36),2)</f>
        <v>00</v>
      </c>
      <c r="AX37" s="124"/>
      <c r="AY37" s="124"/>
      <c r="AZ37" s="124"/>
      <c r="BA37" s="124"/>
      <c r="BB37" s="124"/>
      <c r="BC37" s="124"/>
      <c r="BD37" s="125"/>
      <c r="BE37" s="123" t="str">
        <f>BIN2HEX(CONCATENATE(BE36,BF36,BG36,BH36,BI36,BJ36,BK36,BL36),2)</f>
        <v>00</v>
      </c>
      <c r="BF37" s="124"/>
      <c r="BG37" s="124"/>
      <c r="BH37" s="124"/>
      <c r="BI37" s="124"/>
      <c r="BJ37" s="124"/>
      <c r="BK37" s="124"/>
      <c r="BL37" s="125"/>
      <c r="BM37" s="123" t="str">
        <f>BIN2HEX(CONCATENATE(BM36,BN36,BO36,BP36,BQ36,BR36,BS36,BT36),2)</f>
        <v>00</v>
      </c>
      <c r="BN37" s="124"/>
      <c r="BO37" s="124"/>
      <c r="BP37" s="124"/>
      <c r="BQ37" s="124"/>
      <c r="BR37" s="124"/>
      <c r="BS37" s="124"/>
      <c r="BT37" s="125"/>
      <c r="BU37" s="123" t="str">
        <f>BIN2HEX(CONCATENATE(BU36,BV36,BW36,BX36,BY36,BZ36,CA36,CB36),2)</f>
        <v>00</v>
      </c>
      <c r="BV37" s="124"/>
      <c r="BW37" s="124"/>
      <c r="BX37" s="124"/>
      <c r="BY37" s="124"/>
      <c r="BZ37" s="124"/>
      <c r="CA37" s="124"/>
      <c r="CB37" s="125"/>
      <c r="CC37" s="123" t="str">
        <f>BIN2HEX(CONCATENATE(CC36,CD36,CE36,CF36,CG36,CH36,CI36,CJ36),2)</f>
        <v>00</v>
      </c>
      <c r="CD37" s="124"/>
      <c r="CE37" s="124"/>
      <c r="CF37" s="124"/>
      <c r="CG37" s="124"/>
      <c r="CH37" s="124"/>
      <c r="CI37" s="124"/>
      <c r="CJ37" s="125"/>
    </row>
    <row r="38" spans="1:88">
      <c r="A38" s="135" t="s">
        <v>15</v>
      </c>
      <c r="B38" s="32">
        <v>0</v>
      </c>
      <c r="C38" s="32">
        <v>0</v>
      </c>
      <c r="D38" s="32">
        <v>0</v>
      </c>
      <c r="E38" s="32">
        <v>0</v>
      </c>
      <c r="F38" s="32">
        <v>0</v>
      </c>
      <c r="G38" s="32">
        <v>0</v>
      </c>
      <c r="H38" s="32">
        <v>0</v>
      </c>
      <c r="I38" s="32">
        <v>0</v>
      </c>
      <c r="J38" s="32">
        <v>0</v>
      </c>
      <c r="K38" s="32">
        <v>0</v>
      </c>
      <c r="L38" s="32">
        <v>0</v>
      </c>
      <c r="M38" s="32">
        <v>0</v>
      </c>
      <c r="N38" s="32">
        <v>0</v>
      </c>
      <c r="O38" s="32">
        <v>0</v>
      </c>
      <c r="P38" s="32">
        <v>0</v>
      </c>
      <c r="Q38" s="32">
        <v>0</v>
      </c>
      <c r="R38" s="32">
        <v>0</v>
      </c>
      <c r="S38" s="32">
        <v>0</v>
      </c>
      <c r="T38" s="32">
        <v>0</v>
      </c>
      <c r="U38" s="32">
        <v>0</v>
      </c>
      <c r="V38" s="32">
        <v>0</v>
      </c>
      <c r="W38" s="32">
        <v>0</v>
      </c>
      <c r="X38" s="32">
        <v>0</v>
      </c>
      <c r="Y38" s="32">
        <v>0</v>
      </c>
      <c r="Z38" s="32">
        <v>0</v>
      </c>
      <c r="AA38" s="32">
        <v>0</v>
      </c>
      <c r="AB38" s="32">
        <v>0</v>
      </c>
      <c r="AC38" s="32">
        <v>0</v>
      </c>
      <c r="AD38" s="32">
        <v>0</v>
      </c>
      <c r="AE38" s="32">
        <v>0</v>
      </c>
      <c r="AF38" s="32">
        <v>0</v>
      </c>
      <c r="AG38" s="32">
        <v>0</v>
      </c>
      <c r="AH38" s="32">
        <v>0</v>
      </c>
      <c r="AI38" s="32">
        <v>0</v>
      </c>
      <c r="AJ38" s="32">
        <v>0</v>
      </c>
      <c r="AK38" s="32">
        <v>0</v>
      </c>
      <c r="AL38" s="32">
        <v>0</v>
      </c>
      <c r="AM38" s="32">
        <v>0</v>
      </c>
      <c r="AN38" s="32">
        <v>0</v>
      </c>
      <c r="AO38" s="32">
        <v>0</v>
      </c>
      <c r="AP38" s="32">
        <v>0</v>
      </c>
      <c r="AQ38" s="32">
        <v>0</v>
      </c>
      <c r="AR38" s="32">
        <v>0</v>
      </c>
      <c r="AS38" s="32">
        <v>0</v>
      </c>
      <c r="AT38" s="32">
        <v>0</v>
      </c>
      <c r="AU38" s="32">
        <v>0</v>
      </c>
      <c r="AV38" s="32">
        <v>0</v>
      </c>
      <c r="AW38" s="32">
        <v>0</v>
      </c>
      <c r="AX38" s="32">
        <v>0</v>
      </c>
      <c r="AY38" s="32">
        <v>0</v>
      </c>
      <c r="AZ38" s="32">
        <v>0</v>
      </c>
      <c r="BA38" s="32">
        <v>0</v>
      </c>
      <c r="BB38" s="32">
        <v>0</v>
      </c>
      <c r="BC38" s="32">
        <v>0</v>
      </c>
      <c r="BD38" s="32">
        <v>0</v>
      </c>
      <c r="BE38" s="32">
        <v>0</v>
      </c>
      <c r="BF38" s="32">
        <v>0</v>
      </c>
      <c r="BG38" s="32">
        <v>0</v>
      </c>
      <c r="BH38" s="32">
        <v>0</v>
      </c>
      <c r="BI38" s="32">
        <v>0</v>
      </c>
      <c r="BJ38" s="32">
        <v>0</v>
      </c>
      <c r="BK38" s="32">
        <v>0</v>
      </c>
      <c r="BL38" s="32">
        <v>0</v>
      </c>
      <c r="BM38" s="32">
        <v>0</v>
      </c>
      <c r="BN38" s="32">
        <v>0</v>
      </c>
      <c r="BO38" s="32">
        <v>0</v>
      </c>
      <c r="BP38" s="32">
        <v>0</v>
      </c>
      <c r="BQ38" s="32">
        <v>0</v>
      </c>
      <c r="BR38" s="32">
        <v>0</v>
      </c>
      <c r="BS38" s="32">
        <v>0</v>
      </c>
      <c r="BT38" s="32">
        <v>0</v>
      </c>
      <c r="BU38" s="32">
        <v>0</v>
      </c>
      <c r="BV38" s="32">
        <v>0</v>
      </c>
      <c r="BW38" s="32">
        <v>0</v>
      </c>
      <c r="BX38" s="32">
        <v>0</v>
      </c>
      <c r="BY38" s="32">
        <v>0</v>
      </c>
      <c r="BZ38" s="32">
        <v>0</v>
      </c>
      <c r="CA38" s="32">
        <v>0</v>
      </c>
      <c r="CB38" s="32">
        <v>0</v>
      </c>
      <c r="CC38" s="32">
        <v>0</v>
      </c>
      <c r="CD38" s="32">
        <v>0</v>
      </c>
      <c r="CE38" s="32">
        <v>0</v>
      </c>
      <c r="CF38" s="32">
        <v>0</v>
      </c>
      <c r="CG38" s="32">
        <v>0</v>
      </c>
      <c r="CH38" s="32">
        <v>0</v>
      </c>
      <c r="CI38" s="32">
        <v>0</v>
      </c>
      <c r="CJ38" s="32">
        <v>0</v>
      </c>
    </row>
    <row r="39" spans="1:88" hidden="1">
      <c r="A39" s="136"/>
      <c r="B39" s="39" t="str">
        <f t="shared" ref="B39:L39" ca="1" si="17">DEC2HEX(B38,INDIRECT("'parameters recipe'!$C"&amp;B$27))</f>
        <v>0</v>
      </c>
      <c r="C39" s="39" t="e">
        <f t="shared" ca="1" si="17"/>
        <v>#NUM!</v>
      </c>
      <c r="D39" s="39" t="str">
        <f t="shared" ca="1" si="17"/>
        <v>0</v>
      </c>
      <c r="E39" s="39" t="e">
        <f t="shared" ca="1" si="17"/>
        <v>#NUM!</v>
      </c>
      <c r="F39" s="39" t="str">
        <f t="shared" ca="1" si="17"/>
        <v>0</v>
      </c>
      <c r="G39" s="39" t="e">
        <f t="shared" ca="1" si="17"/>
        <v>#NUM!</v>
      </c>
      <c r="H39" s="39" t="str">
        <f t="shared" ca="1" si="17"/>
        <v>0</v>
      </c>
      <c r="I39" s="39" t="e">
        <f t="shared" ca="1" si="17"/>
        <v>#NUM!</v>
      </c>
      <c r="J39" s="39" t="str">
        <f t="shared" ca="1" si="17"/>
        <v>0</v>
      </c>
      <c r="K39" s="39" t="e">
        <f t="shared" ca="1" si="17"/>
        <v>#NUM!</v>
      </c>
      <c r="L39" s="39" t="str">
        <f t="shared" ca="1" si="17"/>
        <v>0</v>
      </c>
      <c r="M39" s="123" t="str">
        <f>BIN2HEX(CONCATENATE(M38,N38,O38,P38,Q38,R38,S38,T38),2)</f>
        <v>00</v>
      </c>
      <c r="N39" s="124"/>
      <c r="O39" s="124"/>
      <c r="P39" s="124"/>
      <c r="Q39" s="124"/>
      <c r="R39" s="124"/>
      <c r="S39" s="124"/>
      <c r="T39" s="125"/>
      <c r="U39" s="39" t="e">
        <f ca="1">DEC2HEX(U38,INDIRECT("'parameters recipe'!$C"&amp;U$27))</f>
        <v>#NUM!</v>
      </c>
      <c r="V39" s="39" t="e">
        <f ca="1">DEC2HEX(V38,INDIRECT("'parameters recipe'!$C"&amp;V$27))</f>
        <v>#NUM!</v>
      </c>
      <c r="W39" s="39" t="e">
        <f ca="1">DEC2HEX(W38,INDIRECT("'parameters recipe'!$C"&amp;W$27))</f>
        <v>#NUM!</v>
      </c>
      <c r="X39" s="39" t="e">
        <f ca="1">DEC2HEX(X38,INDIRECT("'parameters recipe'!$C"&amp;X$27))</f>
        <v>#NUM!</v>
      </c>
      <c r="Y39" s="123" t="str">
        <f>BIN2HEX(CONCATENATE(Y38,Z38,AA38,AB38,AC38,AD38,AE38,AF38),2)</f>
        <v>00</v>
      </c>
      <c r="Z39" s="124"/>
      <c r="AA39" s="124"/>
      <c r="AB39" s="124"/>
      <c r="AC39" s="124"/>
      <c r="AD39" s="124"/>
      <c r="AE39" s="124"/>
      <c r="AF39" s="125"/>
      <c r="AG39" s="123" t="str">
        <f>BIN2HEX(CONCATENATE(AG38,AH38,AI38,AJ38,AK38,AL38,AM38,AN38),2)</f>
        <v>00</v>
      </c>
      <c r="AH39" s="124"/>
      <c r="AI39" s="124"/>
      <c r="AJ39" s="124"/>
      <c r="AK39" s="124"/>
      <c r="AL39" s="124"/>
      <c r="AM39" s="124"/>
      <c r="AN39" s="125"/>
      <c r="AO39" s="123" t="str">
        <f>BIN2HEX(CONCATENATE(AO38,AP38,AQ38,AR38,AS38,AT38,AU38,AV38),2)</f>
        <v>00</v>
      </c>
      <c r="AP39" s="124"/>
      <c r="AQ39" s="124"/>
      <c r="AR39" s="124"/>
      <c r="AS39" s="124"/>
      <c r="AT39" s="124"/>
      <c r="AU39" s="124"/>
      <c r="AV39" s="125"/>
      <c r="AW39" s="123" t="str">
        <f>BIN2HEX(CONCATENATE(AW38,AX38,AY38,AZ38,BA38,BB38,BC38,BD38),2)</f>
        <v>00</v>
      </c>
      <c r="AX39" s="124"/>
      <c r="AY39" s="124"/>
      <c r="AZ39" s="124"/>
      <c r="BA39" s="124"/>
      <c r="BB39" s="124"/>
      <c r="BC39" s="124"/>
      <c r="BD39" s="125"/>
      <c r="BE39" s="123" t="str">
        <f>BIN2HEX(CONCATENATE(BE38,BF38,BG38,BH38,BI38,BJ38,BK38,BL38),2)</f>
        <v>00</v>
      </c>
      <c r="BF39" s="124"/>
      <c r="BG39" s="124"/>
      <c r="BH39" s="124"/>
      <c r="BI39" s="124"/>
      <c r="BJ39" s="124"/>
      <c r="BK39" s="124"/>
      <c r="BL39" s="125"/>
      <c r="BM39" s="123" t="str">
        <f>BIN2HEX(CONCATENATE(BM38,BN38,BO38,BP38,BQ38,BR38,BS38,BT38),2)</f>
        <v>00</v>
      </c>
      <c r="BN39" s="124"/>
      <c r="BO39" s="124"/>
      <c r="BP39" s="124"/>
      <c r="BQ39" s="124"/>
      <c r="BR39" s="124"/>
      <c r="BS39" s="124"/>
      <c r="BT39" s="125"/>
      <c r="BU39" s="123" t="str">
        <f>BIN2HEX(CONCATENATE(BU38,BV38,BW38,BX38,BY38,BZ38,CA38,CB38),2)</f>
        <v>00</v>
      </c>
      <c r="BV39" s="124"/>
      <c r="BW39" s="124"/>
      <c r="BX39" s="124"/>
      <c r="BY39" s="124"/>
      <c r="BZ39" s="124"/>
      <c r="CA39" s="124"/>
      <c r="CB39" s="125"/>
      <c r="CC39" s="123" t="str">
        <f>BIN2HEX(CONCATENATE(CC38,CD38,CE38,CF38,CG38,CH38,CI38,CJ38),2)</f>
        <v>00</v>
      </c>
      <c r="CD39" s="124"/>
      <c r="CE39" s="124"/>
      <c r="CF39" s="124"/>
      <c r="CG39" s="124"/>
      <c r="CH39" s="124"/>
      <c r="CI39" s="124"/>
      <c r="CJ39" s="125"/>
    </row>
    <row r="40" spans="1:88">
      <c r="A40" s="135" t="s">
        <v>16</v>
      </c>
      <c r="B40" s="32">
        <v>0</v>
      </c>
      <c r="C40" s="32">
        <v>0</v>
      </c>
      <c r="D40" s="32">
        <v>0</v>
      </c>
      <c r="E40" s="32">
        <v>0</v>
      </c>
      <c r="F40" s="32">
        <v>0</v>
      </c>
      <c r="G40" s="32">
        <v>0</v>
      </c>
      <c r="H40" s="32">
        <v>0</v>
      </c>
      <c r="I40" s="32">
        <v>0</v>
      </c>
      <c r="J40" s="32">
        <v>0</v>
      </c>
      <c r="K40" s="32">
        <v>0</v>
      </c>
      <c r="L40" s="32">
        <v>0</v>
      </c>
      <c r="M40" s="32">
        <v>0</v>
      </c>
      <c r="N40" s="32">
        <v>0</v>
      </c>
      <c r="O40" s="32">
        <v>0</v>
      </c>
      <c r="P40" s="32">
        <v>0</v>
      </c>
      <c r="Q40" s="32">
        <v>0</v>
      </c>
      <c r="R40" s="32">
        <v>0</v>
      </c>
      <c r="S40" s="32">
        <v>0</v>
      </c>
      <c r="T40" s="32">
        <v>0</v>
      </c>
      <c r="U40" s="32">
        <v>0</v>
      </c>
      <c r="V40" s="32">
        <v>0</v>
      </c>
      <c r="W40" s="32">
        <v>0</v>
      </c>
      <c r="X40" s="32">
        <v>0</v>
      </c>
      <c r="Y40" s="32">
        <v>0</v>
      </c>
      <c r="Z40" s="32">
        <v>0</v>
      </c>
      <c r="AA40" s="32">
        <v>0</v>
      </c>
      <c r="AB40" s="32">
        <v>0</v>
      </c>
      <c r="AC40" s="32">
        <v>0</v>
      </c>
      <c r="AD40" s="32">
        <v>0</v>
      </c>
      <c r="AE40" s="32">
        <v>0</v>
      </c>
      <c r="AF40" s="32">
        <v>0</v>
      </c>
      <c r="AG40" s="32">
        <v>0</v>
      </c>
      <c r="AH40" s="32">
        <v>0</v>
      </c>
      <c r="AI40" s="32">
        <v>0</v>
      </c>
      <c r="AJ40" s="32">
        <v>0</v>
      </c>
      <c r="AK40" s="32">
        <v>0</v>
      </c>
      <c r="AL40" s="32">
        <v>0</v>
      </c>
      <c r="AM40" s="32">
        <v>0</v>
      </c>
      <c r="AN40" s="32">
        <v>0</v>
      </c>
      <c r="AO40" s="32">
        <v>0</v>
      </c>
      <c r="AP40" s="32">
        <v>0</v>
      </c>
      <c r="AQ40" s="32">
        <v>0</v>
      </c>
      <c r="AR40" s="32">
        <v>0</v>
      </c>
      <c r="AS40" s="32">
        <v>0</v>
      </c>
      <c r="AT40" s="32">
        <v>0</v>
      </c>
      <c r="AU40" s="32">
        <v>0</v>
      </c>
      <c r="AV40" s="32">
        <v>0</v>
      </c>
      <c r="AW40" s="32">
        <v>0</v>
      </c>
      <c r="AX40" s="32">
        <v>0</v>
      </c>
      <c r="AY40" s="32">
        <v>0</v>
      </c>
      <c r="AZ40" s="32">
        <v>0</v>
      </c>
      <c r="BA40" s="32">
        <v>0</v>
      </c>
      <c r="BB40" s="32">
        <v>0</v>
      </c>
      <c r="BC40" s="32">
        <v>0</v>
      </c>
      <c r="BD40" s="32">
        <v>0</v>
      </c>
      <c r="BE40" s="32">
        <v>0</v>
      </c>
      <c r="BF40" s="32">
        <v>0</v>
      </c>
      <c r="BG40" s="32">
        <v>0</v>
      </c>
      <c r="BH40" s="32">
        <v>0</v>
      </c>
      <c r="BI40" s="32">
        <v>0</v>
      </c>
      <c r="BJ40" s="32">
        <v>0</v>
      </c>
      <c r="BK40" s="32">
        <v>0</v>
      </c>
      <c r="BL40" s="32">
        <v>0</v>
      </c>
      <c r="BM40" s="32">
        <v>0</v>
      </c>
      <c r="BN40" s="32">
        <v>0</v>
      </c>
      <c r="BO40" s="32">
        <v>0</v>
      </c>
      <c r="BP40" s="32">
        <v>0</v>
      </c>
      <c r="BQ40" s="32">
        <v>0</v>
      </c>
      <c r="BR40" s="32">
        <v>0</v>
      </c>
      <c r="BS40" s="32">
        <v>0</v>
      </c>
      <c r="BT40" s="32">
        <v>0</v>
      </c>
      <c r="BU40" s="32">
        <v>0</v>
      </c>
      <c r="BV40" s="32">
        <v>0</v>
      </c>
      <c r="BW40" s="32">
        <v>0</v>
      </c>
      <c r="BX40" s="32">
        <v>0</v>
      </c>
      <c r="BY40" s="32">
        <v>0</v>
      </c>
      <c r="BZ40" s="32">
        <v>0</v>
      </c>
      <c r="CA40" s="32">
        <v>0</v>
      </c>
      <c r="CB40" s="32">
        <v>0</v>
      </c>
      <c r="CC40" s="32">
        <v>0</v>
      </c>
      <c r="CD40" s="32">
        <v>0</v>
      </c>
      <c r="CE40" s="32">
        <v>0</v>
      </c>
      <c r="CF40" s="32">
        <v>0</v>
      </c>
      <c r="CG40" s="32">
        <v>0</v>
      </c>
      <c r="CH40" s="32">
        <v>0</v>
      </c>
      <c r="CI40" s="32">
        <v>0</v>
      </c>
      <c r="CJ40" s="32">
        <v>0</v>
      </c>
    </row>
    <row r="41" spans="1:88" hidden="1">
      <c r="A41" s="136"/>
      <c r="B41" s="39" t="str">
        <f t="shared" ref="B41:L41" ca="1" si="18">DEC2HEX(B40,INDIRECT("'parameters recipe'!$C"&amp;B$27))</f>
        <v>0</v>
      </c>
      <c r="C41" s="39" t="e">
        <f t="shared" ca="1" si="18"/>
        <v>#NUM!</v>
      </c>
      <c r="D41" s="39" t="str">
        <f t="shared" ca="1" si="18"/>
        <v>0</v>
      </c>
      <c r="E41" s="39" t="e">
        <f t="shared" ca="1" si="18"/>
        <v>#NUM!</v>
      </c>
      <c r="F41" s="39" t="str">
        <f t="shared" ca="1" si="18"/>
        <v>0</v>
      </c>
      <c r="G41" s="39" t="e">
        <f t="shared" ca="1" si="18"/>
        <v>#NUM!</v>
      </c>
      <c r="H41" s="39" t="str">
        <f t="shared" ca="1" si="18"/>
        <v>0</v>
      </c>
      <c r="I41" s="39" t="e">
        <f t="shared" ca="1" si="18"/>
        <v>#NUM!</v>
      </c>
      <c r="J41" s="39" t="str">
        <f t="shared" ca="1" si="18"/>
        <v>0</v>
      </c>
      <c r="K41" s="39" t="e">
        <f t="shared" ca="1" si="18"/>
        <v>#NUM!</v>
      </c>
      <c r="L41" s="39" t="str">
        <f t="shared" ca="1" si="18"/>
        <v>0</v>
      </c>
      <c r="M41" s="123" t="str">
        <f>BIN2HEX(CONCATENATE(M40,N40,O40,P40,Q40,R40,S40,T40),2)</f>
        <v>00</v>
      </c>
      <c r="N41" s="124"/>
      <c r="O41" s="124"/>
      <c r="P41" s="124"/>
      <c r="Q41" s="124"/>
      <c r="R41" s="124"/>
      <c r="S41" s="124"/>
      <c r="T41" s="125"/>
      <c r="U41" s="39" t="e">
        <f ca="1">DEC2HEX(U40,INDIRECT("'parameters recipe'!$C"&amp;U$27))</f>
        <v>#NUM!</v>
      </c>
      <c r="V41" s="39" t="e">
        <f ca="1">DEC2HEX(V40,INDIRECT("'parameters recipe'!$C"&amp;V$27))</f>
        <v>#NUM!</v>
      </c>
      <c r="W41" s="39" t="e">
        <f ca="1">DEC2HEX(W40,INDIRECT("'parameters recipe'!$C"&amp;W$27))</f>
        <v>#NUM!</v>
      </c>
      <c r="X41" s="39" t="e">
        <f ca="1">DEC2HEX(X40,INDIRECT("'parameters recipe'!$C"&amp;X$27))</f>
        <v>#NUM!</v>
      </c>
      <c r="Y41" s="123" t="str">
        <f>BIN2HEX(CONCATENATE(Y40,Z40,AA40,AB40,AC40,AD40,AE40,AF40),2)</f>
        <v>00</v>
      </c>
      <c r="Z41" s="124"/>
      <c r="AA41" s="124"/>
      <c r="AB41" s="124"/>
      <c r="AC41" s="124"/>
      <c r="AD41" s="124"/>
      <c r="AE41" s="124"/>
      <c r="AF41" s="125"/>
      <c r="AG41" s="123" t="str">
        <f>BIN2HEX(CONCATENATE(AG40,AH40,AI40,AJ40,AK40,AL40,AM40,AN40),2)</f>
        <v>00</v>
      </c>
      <c r="AH41" s="124"/>
      <c r="AI41" s="124"/>
      <c r="AJ41" s="124"/>
      <c r="AK41" s="124"/>
      <c r="AL41" s="124"/>
      <c r="AM41" s="124"/>
      <c r="AN41" s="125"/>
      <c r="AO41" s="123" t="str">
        <f>BIN2HEX(CONCATENATE(AO40,AP40,AQ40,AR40,AS40,AT40,AU40,AV40),2)</f>
        <v>00</v>
      </c>
      <c r="AP41" s="124"/>
      <c r="AQ41" s="124"/>
      <c r="AR41" s="124"/>
      <c r="AS41" s="124"/>
      <c r="AT41" s="124"/>
      <c r="AU41" s="124"/>
      <c r="AV41" s="125"/>
      <c r="AW41" s="123" t="str">
        <f>BIN2HEX(CONCATENATE(AW40,AX40,AY40,AZ40,BA40,BB40,BC40,BD40),2)</f>
        <v>00</v>
      </c>
      <c r="AX41" s="124"/>
      <c r="AY41" s="124"/>
      <c r="AZ41" s="124"/>
      <c r="BA41" s="124"/>
      <c r="BB41" s="124"/>
      <c r="BC41" s="124"/>
      <c r="BD41" s="125"/>
      <c r="BE41" s="123" t="str">
        <f>BIN2HEX(CONCATENATE(BE40,BF40,BG40,BH40,BI40,BJ40,BK40,BL40),2)</f>
        <v>00</v>
      </c>
      <c r="BF41" s="124"/>
      <c r="BG41" s="124"/>
      <c r="BH41" s="124"/>
      <c r="BI41" s="124"/>
      <c r="BJ41" s="124"/>
      <c r="BK41" s="124"/>
      <c r="BL41" s="125"/>
      <c r="BM41" s="123" t="str">
        <f>BIN2HEX(CONCATENATE(BM40,BN40,BO40,BP40,BQ40,BR40,BS40,BT40),2)</f>
        <v>00</v>
      </c>
      <c r="BN41" s="124"/>
      <c r="BO41" s="124"/>
      <c r="BP41" s="124"/>
      <c r="BQ41" s="124"/>
      <c r="BR41" s="124"/>
      <c r="BS41" s="124"/>
      <c r="BT41" s="125"/>
      <c r="BU41" s="123" t="str">
        <f>BIN2HEX(CONCATENATE(BU40,BV40,BW40,BX40,BY40,BZ40,CA40,CB40),2)</f>
        <v>00</v>
      </c>
      <c r="BV41" s="124"/>
      <c r="BW41" s="124"/>
      <c r="BX41" s="124"/>
      <c r="BY41" s="124"/>
      <c r="BZ41" s="124"/>
      <c r="CA41" s="124"/>
      <c r="CB41" s="125"/>
      <c r="CC41" s="123" t="str">
        <f>BIN2HEX(CONCATENATE(CC40,CD40,CE40,CF40,CG40,CH40,CI40,CJ40),2)</f>
        <v>00</v>
      </c>
      <c r="CD41" s="124"/>
      <c r="CE41" s="124"/>
      <c r="CF41" s="124"/>
      <c r="CG41" s="124"/>
      <c r="CH41" s="124"/>
      <c r="CI41" s="124"/>
      <c r="CJ41" s="125"/>
    </row>
    <row r="42" spans="1:88">
      <c r="A42" s="135" t="s">
        <v>17</v>
      </c>
      <c r="B42" s="32">
        <v>0</v>
      </c>
      <c r="C42" s="32">
        <v>0</v>
      </c>
      <c r="D42" s="32">
        <v>0</v>
      </c>
      <c r="E42" s="32">
        <v>0</v>
      </c>
      <c r="F42" s="32">
        <v>0</v>
      </c>
      <c r="G42" s="32">
        <v>0</v>
      </c>
      <c r="H42" s="32">
        <v>0</v>
      </c>
      <c r="I42" s="32">
        <v>0</v>
      </c>
      <c r="J42" s="32">
        <v>0</v>
      </c>
      <c r="K42" s="32">
        <v>0</v>
      </c>
      <c r="L42" s="32">
        <v>0</v>
      </c>
      <c r="M42" s="32">
        <v>0</v>
      </c>
      <c r="N42" s="32">
        <v>0</v>
      </c>
      <c r="O42" s="32">
        <v>0</v>
      </c>
      <c r="P42" s="32">
        <v>0</v>
      </c>
      <c r="Q42" s="32">
        <v>0</v>
      </c>
      <c r="R42" s="32">
        <v>0</v>
      </c>
      <c r="S42" s="32">
        <v>0</v>
      </c>
      <c r="T42" s="32">
        <v>0</v>
      </c>
      <c r="U42" s="32">
        <v>0</v>
      </c>
      <c r="V42" s="32">
        <v>0</v>
      </c>
      <c r="W42" s="32">
        <v>0</v>
      </c>
      <c r="X42" s="32">
        <v>0</v>
      </c>
      <c r="Y42" s="32">
        <v>0</v>
      </c>
      <c r="Z42" s="32">
        <v>0</v>
      </c>
      <c r="AA42" s="32">
        <v>0</v>
      </c>
      <c r="AB42" s="32">
        <v>0</v>
      </c>
      <c r="AC42" s="32">
        <v>0</v>
      </c>
      <c r="AD42" s="32">
        <v>0</v>
      </c>
      <c r="AE42" s="32">
        <v>0</v>
      </c>
      <c r="AF42" s="32">
        <v>0</v>
      </c>
      <c r="AG42" s="32">
        <v>0</v>
      </c>
      <c r="AH42" s="32">
        <v>0</v>
      </c>
      <c r="AI42" s="32">
        <v>0</v>
      </c>
      <c r="AJ42" s="32">
        <v>0</v>
      </c>
      <c r="AK42" s="32">
        <v>0</v>
      </c>
      <c r="AL42" s="32">
        <v>0</v>
      </c>
      <c r="AM42" s="32">
        <v>0</v>
      </c>
      <c r="AN42" s="32">
        <v>0</v>
      </c>
      <c r="AO42" s="32">
        <v>0</v>
      </c>
      <c r="AP42" s="32">
        <v>0</v>
      </c>
      <c r="AQ42" s="32">
        <v>0</v>
      </c>
      <c r="AR42" s="32">
        <v>0</v>
      </c>
      <c r="AS42" s="32">
        <v>0</v>
      </c>
      <c r="AT42" s="32">
        <v>0</v>
      </c>
      <c r="AU42" s="32">
        <v>0</v>
      </c>
      <c r="AV42" s="32">
        <v>0</v>
      </c>
      <c r="AW42" s="32">
        <v>0</v>
      </c>
      <c r="AX42" s="32">
        <v>0</v>
      </c>
      <c r="AY42" s="32">
        <v>0</v>
      </c>
      <c r="AZ42" s="32">
        <v>0</v>
      </c>
      <c r="BA42" s="32">
        <v>0</v>
      </c>
      <c r="BB42" s="32">
        <v>0</v>
      </c>
      <c r="BC42" s="32">
        <v>0</v>
      </c>
      <c r="BD42" s="32">
        <v>0</v>
      </c>
      <c r="BE42" s="32">
        <v>0</v>
      </c>
      <c r="BF42" s="32">
        <v>0</v>
      </c>
      <c r="BG42" s="32">
        <v>0</v>
      </c>
      <c r="BH42" s="32">
        <v>0</v>
      </c>
      <c r="BI42" s="32">
        <v>0</v>
      </c>
      <c r="BJ42" s="32">
        <v>0</v>
      </c>
      <c r="BK42" s="32">
        <v>0</v>
      </c>
      <c r="BL42" s="32">
        <v>0</v>
      </c>
      <c r="BM42" s="32">
        <v>0</v>
      </c>
      <c r="BN42" s="32">
        <v>0</v>
      </c>
      <c r="BO42" s="32">
        <v>0</v>
      </c>
      <c r="BP42" s="32">
        <v>0</v>
      </c>
      <c r="BQ42" s="32">
        <v>0</v>
      </c>
      <c r="BR42" s="32">
        <v>0</v>
      </c>
      <c r="BS42" s="32">
        <v>0</v>
      </c>
      <c r="BT42" s="32">
        <v>0</v>
      </c>
      <c r="BU42" s="32">
        <v>0</v>
      </c>
      <c r="BV42" s="32">
        <v>0</v>
      </c>
      <c r="BW42" s="32">
        <v>0</v>
      </c>
      <c r="BX42" s="32">
        <v>0</v>
      </c>
      <c r="BY42" s="32">
        <v>0</v>
      </c>
      <c r="BZ42" s="32">
        <v>0</v>
      </c>
      <c r="CA42" s="32">
        <v>0</v>
      </c>
      <c r="CB42" s="32">
        <v>0</v>
      </c>
      <c r="CC42" s="32">
        <v>0</v>
      </c>
      <c r="CD42" s="32">
        <v>0</v>
      </c>
      <c r="CE42" s="32">
        <v>0</v>
      </c>
      <c r="CF42" s="32">
        <v>0</v>
      </c>
      <c r="CG42" s="32">
        <v>0</v>
      </c>
      <c r="CH42" s="32">
        <v>0</v>
      </c>
      <c r="CI42" s="32">
        <v>0</v>
      </c>
      <c r="CJ42" s="32">
        <v>0</v>
      </c>
    </row>
    <row r="43" spans="1:88" hidden="1">
      <c r="A43" s="136"/>
      <c r="B43" s="39" t="str">
        <f t="shared" ref="B43:L43" ca="1" si="19">DEC2HEX(B42,INDIRECT("'parameters recipe'!$C"&amp;B$27))</f>
        <v>0</v>
      </c>
      <c r="C43" s="39" t="e">
        <f t="shared" ca="1" si="19"/>
        <v>#NUM!</v>
      </c>
      <c r="D43" s="39" t="str">
        <f t="shared" ca="1" si="19"/>
        <v>0</v>
      </c>
      <c r="E43" s="39" t="e">
        <f t="shared" ca="1" si="19"/>
        <v>#NUM!</v>
      </c>
      <c r="F43" s="39" t="str">
        <f t="shared" ca="1" si="19"/>
        <v>0</v>
      </c>
      <c r="G43" s="39" t="e">
        <f t="shared" ca="1" si="19"/>
        <v>#NUM!</v>
      </c>
      <c r="H43" s="39" t="str">
        <f t="shared" ca="1" si="19"/>
        <v>0</v>
      </c>
      <c r="I43" s="39" t="e">
        <f t="shared" ca="1" si="19"/>
        <v>#NUM!</v>
      </c>
      <c r="J43" s="39" t="str">
        <f t="shared" ca="1" si="19"/>
        <v>0</v>
      </c>
      <c r="K43" s="39" t="e">
        <f t="shared" ca="1" si="19"/>
        <v>#NUM!</v>
      </c>
      <c r="L43" s="39" t="str">
        <f t="shared" ca="1" si="19"/>
        <v>0</v>
      </c>
      <c r="M43" s="123" t="str">
        <f>BIN2HEX(CONCATENATE(M42,N42,O42,P42,Q42,R42,S42,T42),2)</f>
        <v>00</v>
      </c>
      <c r="N43" s="124"/>
      <c r="O43" s="124"/>
      <c r="P43" s="124"/>
      <c r="Q43" s="124"/>
      <c r="R43" s="124"/>
      <c r="S43" s="124"/>
      <c r="T43" s="125"/>
      <c r="U43" s="39" t="e">
        <f ca="1">DEC2HEX(U42,INDIRECT("'parameters recipe'!$C"&amp;U$27))</f>
        <v>#NUM!</v>
      </c>
      <c r="V43" s="39" t="e">
        <f ca="1">DEC2HEX(V42,INDIRECT("'parameters recipe'!$C"&amp;V$27))</f>
        <v>#NUM!</v>
      </c>
      <c r="W43" s="39" t="e">
        <f ca="1">DEC2HEX(W42,INDIRECT("'parameters recipe'!$C"&amp;W$27))</f>
        <v>#NUM!</v>
      </c>
      <c r="X43" s="39" t="e">
        <f ca="1">DEC2HEX(X42,INDIRECT("'parameters recipe'!$C"&amp;X$27))</f>
        <v>#NUM!</v>
      </c>
      <c r="Y43" s="123" t="str">
        <f>BIN2HEX(CONCATENATE(Y42,Z42,AA42,AB42,AC42,AD42,AE42,AF42),2)</f>
        <v>00</v>
      </c>
      <c r="Z43" s="124"/>
      <c r="AA43" s="124"/>
      <c r="AB43" s="124"/>
      <c r="AC43" s="124"/>
      <c r="AD43" s="124"/>
      <c r="AE43" s="124"/>
      <c r="AF43" s="125"/>
      <c r="AG43" s="123" t="str">
        <f>BIN2HEX(CONCATENATE(AG42,AH42,AI42,AJ42,AK42,AL42,AM42,AN42),2)</f>
        <v>00</v>
      </c>
      <c r="AH43" s="124"/>
      <c r="AI43" s="124"/>
      <c r="AJ43" s="124"/>
      <c r="AK43" s="124"/>
      <c r="AL43" s="124"/>
      <c r="AM43" s="124"/>
      <c r="AN43" s="125"/>
      <c r="AO43" s="123" t="str">
        <f>BIN2HEX(CONCATENATE(AO42,AP42,AQ42,AR42,AS42,AT42,AU42,AV42),2)</f>
        <v>00</v>
      </c>
      <c r="AP43" s="124"/>
      <c r="AQ43" s="124"/>
      <c r="AR43" s="124"/>
      <c r="AS43" s="124"/>
      <c r="AT43" s="124"/>
      <c r="AU43" s="124"/>
      <c r="AV43" s="125"/>
      <c r="AW43" s="123" t="str">
        <f>BIN2HEX(CONCATENATE(AW42,AX42,AY42,AZ42,BA42,BB42,BC42,BD42),2)</f>
        <v>00</v>
      </c>
      <c r="AX43" s="124"/>
      <c r="AY43" s="124"/>
      <c r="AZ43" s="124"/>
      <c r="BA43" s="124"/>
      <c r="BB43" s="124"/>
      <c r="BC43" s="124"/>
      <c r="BD43" s="125"/>
      <c r="BE43" s="123" t="str">
        <f>BIN2HEX(CONCATENATE(BE42,BF42,BG42,BH42,BI42,BJ42,BK42,BL42),2)</f>
        <v>00</v>
      </c>
      <c r="BF43" s="124"/>
      <c r="BG43" s="124"/>
      <c r="BH43" s="124"/>
      <c r="BI43" s="124"/>
      <c r="BJ43" s="124"/>
      <c r="BK43" s="124"/>
      <c r="BL43" s="125"/>
      <c r="BM43" s="123" t="str">
        <f>BIN2HEX(CONCATENATE(BM42,BN42,BO42,BP42,BQ42,BR42,BS42,BT42),2)</f>
        <v>00</v>
      </c>
      <c r="BN43" s="124"/>
      <c r="BO43" s="124"/>
      <c r="BP43" s="124"/>
      <c r="BQ43" s="124"/>
      <c r="BR43" s="124"/>
      <c r="BS43" s="124"/>
      <c r="BT43" s="125"/>
      <c r="BU43" s="123" t="str">
        <f>BIN2HEX(CONCATENATE(BU42,BV42,BW42,BX42,BY42,BZ42,CA42,CB42),2)</f>
        <v>00</v>
      </c>
      <c r="BV43" s="124"/>
      <c r="BW43" s="124"/>
      <c r="BX43" s="124"/>
      <c r="BY43" s="124"/>
      <c r="BZ43" s="124"/>
      <c r="CA43" s="124"/>
      <c r="CB43" s="125"/>
      <c r="CC43" s="123" t="str">
        <f>BIN2HEX(CONCATENATE(CC42,CD42,CE42,CF42,CG42,CH42,CI42,CJ42),2)</f>
        <v>00</v>
      </c>
      <c r="CD43" s="124"/>
      <c r="CE43" s="124"/>
      <c r="CF43" s="124"/>
      <c r="CG43" s="124"/>
      <c r="CH43" s="124"/>
      <c r="CI43" s="124"/>
      <c r="CJ43" s="125"/>
    </row>
    <row r="44" spans="1:88">
      <c r="A44" s="135" t="s">
        <v>18</v>
      </c>
      <c r="B44" s="32">
        <v>0</v>
      </c>
      <c r="C44" s="32">
        <v>0</v>
      </c>
      <c r="D44" s="32">
        <v>0</v>
      </c>
      <c r="E44" s="32">
        <v>0</v>
      </c>
      <c r="F44" s="32">
        <v>0</v>
      </c>
      <c r="G44" s="32">
        <v>0</v>
      </c>
      <c r="H44" s="32">
        <v>0</v>
      </c>
      <c r="I44" s="32">
        <v>0</v>
      </c>
      <c r="J44" s="32">
        <v>0</v>
      </c>
      <c r="K44" s="32">
        <v>0</v>
      </c>
      <c r="L44" s="32">
        <v>0</v>
      </c>
      <c r="M44" s="32">
        <v>0</v>
      </c>
      <c r="N44" s="32">
        <v>0</v>
      </c>
      <c r="O44" s="32">
        <v>0</v>
      </c>
      <c r="P44" s="32">
        <v>0</v>
      </c>
      <c r="Q44" s="32">
        <v>0</v>
      </c>
      <c r="R44" s="32">
        <v>0</v>
      </c>
      <c r="S44" s="32">
        <v>0</v>
      </c>
      <c r="T44" s="32">
        <v>0</v>
      </c>
      <c r="U44" s="32">
        <v>0</v>
      </c>
      <c r="V44" s="32">
        <v>0</v>
      </c>
      <c r="W44" s="32">
        <v>0</v>
      </c>
      <c r="X44" s="32">
        <v>0</v>
      </c>
      <c r="Y44" s="32">
        <v>0</v>
      </c>
      <c r="Z44" s="32">
        <v>0</v>
      </c>
      <c r="AA44" s="32">
        <v>0</v>
      </c>
      <c r="AB44" s="32">
        <v>0</v>
      </c>
      <c r="AC44" s="32">
        <v>0</v>
      </c>
      <c r="AD44" s="32">
        <v>0</v>
      </c>
      <c r="AE44" s="32">
        <v>0</v>
      </c>
      <c r="AF44" s="32">
        <v>0</v>
      </c>
      <c r="AG44" s="32">
        <v>0</v>
      </c>
      <c r="AH44" s="32">
        <v>0</v>
      </c>
      <c r="AI44" s="32">
        <v>0</v>
      </c>
      <c r="AJ44" s="32">
        <v>0</v>
      </c>
      <c r="AK44" s="32">
        <v>0</v>
      </c>
      <c r="AL44" s="32">
        <v>0</v>
      </c>
      <c r="AM44" s="32">
        <v>0</v>
      </c>
      <c r="AN44" s="32">
        <v>0</v>
      </c>
      <c r="AO44" s="32">
        <v>0</v>
      </c>
      <c r="AP44" s="32">
        <v>0</v>
      </c>
      <c r="AQ44" s="32">
        <v>0</v>
      </c>
      <c r="AR44" s="32">
        <v>0</v>
      </c>
      <c r="AS44" s="32">
        <v>0</v>
      </c>
      <c r="AT44" s="32">
        <v>0</v>
      </c>
      <c r="AU44" s="32">
        <v>0</v>
      </c>
      <c r="AV44" s="32">
        <v>0</v>
      </c>
      <c r="AW44" s="32">
        <v>0</v>
      </c>
      <c r="AX44" s="32">
        <v>0</v>
      </c>
      <c r="AY44" s="32">
        <v>0</v>
      </c>
      <c r="AZ44" s="32">
        <v>0</v>
      </c>
      <c r="BA44" s="32">
        <v>0</v>
      </c>
      <c r="BB44" s="32">
        <v>0</v>
      </c>
      <c r="BC44" s="32">
        <v>0</v>
      </c>
      <c r="BD44" s="32">
        <v>0</v>
      </c>
      <c r="BE44" s="32">
        <v>0</v>
      </c>
      <c r="BF44" s="32">
        <v>0</v>
      </c>
      <c r="BG44" s="32">
        <v>0</v>
      </c>
      <c r="BH44" s="32">
        <v>0</v>
      </c>
      <c r="BI44" s="32">
        <v>0</v>
      </c>
      <c r="BJ44" s="32">
        <v>0</v>
      </c>
      <c r="BK44" s="32">
        <v>0</v>
      </c>
      <c r="BL44" s="32">
        <v>0</v>
      </c>
      <c r="BM44" s="32">
        <v>0</v>
      </c>
      <c r="BN44" s="32">
        <v>0</v>
      </c>
      <c r="BO44" s="32">
        <v>0</v>
      </c>
      <c r="BP44" s="32">
        <v>0</v>
      </c>
      <c r="BQ44" s="32">
        <v>0</v>
      </c>
      <c r="BR44" s="32">
        <v>0</v>
      </c>
      <c r="BS44" s="32">
        <v>0</v>
      </c>
      <c r="BT44" s="32">
        <v>0</v>
      </c>
      <c r="BU44" s="32">
        <v>0</v>
      </c>
      <c r="BV44" s="32">
        <v>0</v>
      </c>
      <c r="BW44" s="32">
        <v>0</v>
      </c>
      <c r="BX44" s="32">
        <v>0</v>
      </c>
      <c r="BY44" s="32">
        <v>0</v>
      </c>
      <c r="BZ44" s="32">
        <v>0</v>
      </c>
      <c r="CA44" s="32">
        <v>0</v>
      </c>
      <c r="CB44" s="32">
        <v>0</v>
      </c>
      <c r="CC44" s="32">
        <v>0</v>
      </c>
      <c r="CD44" s="32">
        <v>0</v>
      </c>
      <c r="CE44" s="32">
        <v>0</v>
      </c>
      <c r="CF44" s="32">
        <v>0</v>
      </c>
      <c r="CG44" s="32">
        <v>0</v>
      </c>
      <c r="CH44" s="32">
        <v>0</v>
      </c>
      <c r="CI44" s="32">
        <v>0</v>
      </c>
      <c r="CJ44" s="32">
        <v>0</v>
      </c>
    </row>
    <row r="45" spans="1:88" hidden="1">
      <c r="A45" s="136"/>
      <c r="B45" s="39" t="str">
        <f t="shared" ref="B45:L45" ca="1" si="20">DEC2HEX(B44,INDIRECT("'parameters recipe'!$C"&amp;B$27))</f>
        <v>0</v>
      </c>
      <c r="C45" s="39" t="e">
        <f t="shared" ca="1" si="20"/>
        <v>#NUM!</v>
      </c>
      <c r="D45" s="39" t="str">
        <f t="shared" ca="1" si="20"/>
        <v>0</v>
      </c>
      <c r="E45" s="39" t="e">
        <f t="shared" ca="1" si="20"/>
        <v>#NUM!</v>
      </c>
      <c r="F45" s="39" t="str">
        <f t="shared" ca="1" si="20"/>
        <v>0</v>
      </c>
      <c r="G45" s="39" t="e">
        <f t="shared" ca="1" si="20"/>
        <v>#NUM!</v>
      </c>
      <c r="H45" s="39" t="str">
        <f t="shared" ca="1" si="20"/>
        <v>0</v>
      </c>
      <c r="I45" s="39" t="e">
        <f t="shared" ca="1" si="20"/>
        <v>#NUM!</v>
      </c>
      <c r="J45" s="39" t="str">
        <f t="shared" ca="1" si="20"/>
        <v>0</v>
      </c>
      <c r="K45" s="39" t="e">
        <f t="shared" ca="1" si="20"/>
        <v>#NUM!</v>
      </c>
      <c r="L45" s="39" t="str">
        <f t="shared" ca="1" si="20"/>
        <v>0</v>
      </c>
      <c r="M45" s="123" t="str">
        <f>BIN2HEX(CONCATENATE(M44,N44,O44,P44,Q44,R44,S44,T44),2)</f>
        <v>00</v>
      </c>
      <c r="N45" s="124"/>
      <c r="O45" s="124"/>
      <c r="P45" s="124"/>
      <c r="Q45" s="124"/>
      <c r="R45" s="124"/>
      <c r="S45" s="124"/>
      <c r="T45" s="125"/>
      <c r="U45" s="39" t="e">
        <f ca="1">DEC2HEX(U44,INDIRECT("'parameters recipe'!$C"&amp;U$27))</f>
        <v>#NUM!</v>
      </c>
      <c r="V45" s="39" t="e">
        <f ca="1">DEC2HEX(V44,INDIRECT("'parameters recipe'!$C"&amp;V$27))</f>
        <v>#NUM!</v>
      </c>
      <c r="W45" s="39" t="e">
        <f ca="1">DEC2HEX(W44,INDIRECT("'parameters recipe'!$C"&amp;W$27))</f>
        <v>#NUM!</v>
      </c>
      <c r="X45" s="39" t="e">
        <f ca="1">DEC2HEX(X44,INDIRECT("'parameters recipe'!$C"&amp;X$27))</f>
        <v>#NUM!</v>
      </c>
      <c r="Y45" s="123" t="str">
        <f>BIN2HEX(CONCATENATE(Y44,Z44,AA44,AB44,AC44,AD44,AE44,AF44),2)</f>
        <v>00</v>
      </c>
      <c r="Z45" s="124"/>
      <c r="AA45" s="124"/>
      <c r="AB45" s="124"/>
      <c r="AC45" s="124"/>
      <c r="AD45" s="124"/>
      <c r="AE45" s="124"/>
      <c r="AF45" s="125"/>
      <c r="AG45" s="123" t="str">
        <f>BIN2HEX(CONCATENATE(AG44,AH44,AI44,AJ44,AK44,AL44,AM44,AN44),2)</f>
        <v>00</v>
      </c>
      <c r="AH45" s="124"/>
      <c r="AI45" s="124"/>
      <c r="AJ45" s="124"/>
      <c r="AK45" s="124"/>
      <c r="AL45" s="124"/>
      <c r="AM45" s="124"/>
      <c r="AN45" s="125"/>
      <c r="AO45" s="123" t="str">
        <f>BIN2HEX(CONCATENATE(AO44,AP44,AQ44,AR44,AS44,AT44,AU44,AV44),2)</f>
        <v>00</v>
      </c>
      <c r="AP45" s="124"/>
      <c r="AQ45" s="124"/>
      <c r="AR45" s="124"/>
      <c r="AS45" s="124"/>
      <c r="AT45" s="124"/>
      <c r="AU45" s="124"/>
      <c r="AV45" s="125"/>
      <c r="AW45" s="123" t="str">
        <f>BIN2HEX(CONCATENATE(AW44,AX44,AY44,AZ44,BA44,BB44,BC44,BD44),2)</f>
        <v>00</v>
      </c>
      <c r="AX45" s="124"/>
      <c r="AY45" s="124"/>
      <c r="AZ45" s="124"/>
      <c r="BA45" s="124"/>
      <c r="BB45" s="124"/>
      <c r="BC45" s="124"/>
      <c r="BD45" s="125"/>
      <c r="BE45" s="123" t="str">
        <f>BIN2HEX(CONCATENATE(BE44,BF44,BG44,BH44,BI44,BJ44,BK44,BL44),2)</f>
        <v>00</v>
      </c>
      <c r="BF45" s="124"/>
      <c r="BG45" s="124"/>
      <c r="BH45" s="124"/>
      <c r="BI45" s="124"/>
      <c r="BJ45" s="124"/>
      <c r="BK45" s="124"/>
      <c r="BL45" s="125"/>
      <c r="BM45" s="123" t="str">
        <f>BIN2HEX(CONCATENATE(BM44,BN44,BO44,BP44,BQ44,BR44,BS44,BT44),2)</f>
        <v>00</v>
      </c>
      <c r="BN45" s="124"/>
      <c r="BO45" s="124"/>
      <c r="BP45" s="124"/>
      <c r="BQ45" s="124"/>
      <c r="BR45" s="124"/>
      <c r="BS45" s="124"/>
      <c r="BT45" s="125"/>
      <c r="BU45" s="123" t="str">
        <f>BIN2HEX(CONCATENATE(BU44,BV44,BW44,BX44,BY44,BZ44,CA44,CB44),2)</f>
        <v>00</v>
      </c>
      <c r="BV45" s="124"/>
      <c r="BW45" s="124"/>
      <c r="BX45" s="124"/>
      <c r="BY45" s="124"/>
      <c r="BZ45" s="124"/>
      <c r="CA45" s="124"/>
      <c r="CB45" s="125"/>
      <c r="CC45" s="123" t="str">
        <f>BIN2HEX(CONCATENATE(CC44,CD44,CE44,CF44,CG44,CH44,CI44,CJ44),2)</f>
        <v>00</v>
      </c>
      <c r="CD45" s="124"/>
      <c r="CE45" s="124"/>
      <c r="CF45" s="124"/>
      <c r="CG45" s="124"/>
      <c r="CH45" s="124"/>
      <c r="CI45" s="124"/>
      <c r="CJ45" s="125"/>
    </row>
    <row r="46" spans="1:88">
      <c r="A46" s="135" t="s">
        <v>19</v>
      </c>
      <c r="B46" s="32">
        <v>0</v>
      </c>
      <c r="C46" s="32">
        <v>0</v>
      </c>
      <c r="D46" s="32">
        <v>0</v>
      </c>
      <c r="E46" s="32">
        <v>0</v>
      </c>
      <c r="F46" s="32">
        <v>0</v>
      </c>
      <c r="G46" s="32">
        <v>0</v>
      </c>
      <c r="H46" s="32">
        <v>0</v>
      </c>
      <c r="I46" s="32">
        <v>0</v>
      </c>
      <c r="J46" s="32">
        <v>0</v>
      </c>
      <c r="K46" s="32">
        <v>0</v>
      </c>
      <c r="L46" s="32">
        <v>0</v>
      </c>
      <c r="M46" s="32">
        <v>0</v>
      </c>
      <c r="N46" s="32">
        <v>0</v>
      </c>
      <c r="O46" s="32">
        <v>0</v>
      </c>
      <c r="P46" s="32">
        <v>0</v>
      </c>
      <c r="Q46" s="32">
        <v>0</v>
      </c>
      <c r="R46" s="32">
        <v>0</v>
      </c>
      <c r="S46" s="32">
        <v>0</v>
      </c>
      <c r="T46" s="32">
        <v>0</v>
      </c>
      <c r="U46" s="32">
        <v>0</v>
      </c>
      <c r="V46" s="32">
        <v>0</v>
      </c>
      <c r="W46" s="32">
        <v>0</v>
      </c>
      <c r="X46" s="32">
        <v>0</v>
      </c>
      <c r="Y46" s="32">
        <v>0</v>
      </c>
      <c r="Z46" s="32">
        <v>0</v>
      </c>
      <c r="AA46" s="32">
        <v>0</v>
      </c>
      <c r="AB46" s="32">
        <v>0</v>
      </c>
      <c r="AC46" s="32">
        <v>0</v>
      </c>
      <c r="AD46" s="32">
        <v>0</v>
      </c>
      <c r="AE46" s="32">
        <v>0</v>
      </c>
      <c r="AF46" s="32">
        <v>0</v>
      </c>
      <c r="AG46" s="32">
        <v>0</v>
      </c>
      <c r="AH46" s="32">
        <v>0</v>
      </c>
      <c r="AI46" s="32">
        <v>0</v>
      </c>
      <c r="AJ46" s="32">
        <v>0</v>
      </c>
      <c r="AK46" s="32">
        <v>0</v>
      </c>
      <c r="AL46" s="32">
        <v>0</v>
      </c>
      <c r="AM46" s="32">
        <v>0</v>
      </c>
      <c r="AN46" s="32">
        <v>0</v>
      </c>
      <c r="AO46" s="32">
        <v>0</v>
      </c>
      <c r="AP46" s="32">
        <v>0</v>
      </c>
      <c r="AQ46" s="32">
        <v>0</v>
      </c>
      <c r="AR46" s="32">
        <v>0</v>
      </c>
      <c r="AS46" s="32">
        <v>0</v>
      </c>
      <c r="AT46" s="32">
        <v>0</v>
      </c>
      <c r="AU46" s="32">
        <v>0</v>
      </c>
      <c r="AV46" s="32">
        <v>0</v>
      </c>
      <c r="AW46" s="32">
        <v>0</v>
      </c>
      <c r="AX46" s="32">
        <v>0</v>
      </c>
      <c r="AY46" s="32">
        <v>0</v>
      </c>
      <c r="AZ46" s="32">
        <v>0</v>
      </c>
      <c r="BA46" s="32">
        <v>0</v>
      </c>
      <c r="BB46" s="32">
        <v>0</v>
      </c>
      <c r="BC46" s="32">
        <v>0</v>
      </c>
      <c r="BD46" s="32">
        <v>0</v>
      </c>
      <c r="BE46" s="32">
        <v>0</v>
      </c>
      <c r="BF46" s="32">
        <v>0</v>
      </c>
      <c r="BG46" s="32">
        <v>0</v>
      </c>
      <c r="BH46" s="32">
        <v>0</v>
      </c>
      <c r="BI46" s="32">
        <v>0</v>
      </c>
      <c r="BJ46" s="32">
        <v>0</v>
      </c>
      <c r="BK46" s="32">
        <v>0</v>
      </c>
      <c r="BL46" s="32">
        <v>0</v>
      </c>
      <c r="BM46" s="32">
        <v>0</v>
      </c>
      <c r="BN46" s="32">
        <v>0</v>
      </c>
      <c r="BO46" s="32">
        <v>0</v>
      </c>
      <c r="BP46" s="32">
        <v>0</v>
      </c>
      <c r="BQ46" s="32">
        <v>0</v>
      </c>
      <c r="BR46" s="32">
        <v>0</v>
      </c>
      <c r="BS46" s="32">
        <v>0</v>
      </c>
      <c r="BT46" s="32">
        <v>0</v>
      </c>
      <c r="BU46" s="32">
        <v>0</v>
      </c>
      <c r="BV46" s="32">
        <v>0</v>
      </c>
      <c r="BW46" s="32">
        <v>0</v>
      </c>
      <c r="BX46" s="32">
        <v>0</v>
      </c>
      <c r="BY46" s="32">
        <v>0</v>
      </c>
      <c r="BZ46" s="32">
        <v>0</v>
      </c>
      <c r="CA46" s="32">
        <v>0</v>
      </c>
      <c r="CB46" s="32">
        <v>0</v>
      </c>
      <c r="CC46" s="32">
        <v>0</v>
      </c>
      <c r="CD46" s="32">
        <v>0</v>
      </c>
      <c r="CE46" s="32">
        <v>0</v>
      </c>
      <c r="CF46" s="32">
        <v>0</v>
      </c>
      <c r="CG46" s="32">
        <v>0</v>
      </c>
      <c r="CH46" s="32">
        <v>0</v>
      </c>
      <c r="CI46" s="32">
        <v>0</v>
      </c>
      <c r="CJ46" s="32">
        <v>0</v>
      </c>
    </row>
    <row r="47" spans="1:88" hidden="1">
      <c r="A47" s="136"/>
      <c r="B47" s="39" t="str">
        <f t="shared" ref="B47:L47" ca="1" si="21">DEC2HEX(B46,INDIRECT("'parameters recipe'!$C"&amp;B$27))</f>
        <v>0</v>
      </c>
      <c r="C47" s="39" t="e">
        <f t="shared" ca="1" si="21"/>
        <v>#NUM!</v>
      </c>
      <c r="D47" s="39" t="str">
        <f t="shared" ca="1" si="21"/>
        <v>0</v>
      </c>
      <c r="E47" s="39" t="e">
        <f t="shared" ca="1" si="21"/>
        <v>#NUM!</v>
      </c>
      <c r="F47" s="39" t="str">
        <f t="shared" ca="1" si="21"/>
        <v>0</v>
      </c>
      <c r="G47" s="39" t="e">
        <f t="shared" ca="1" si="21"/>
        <v>#NUM!</v>
      </c>
      <c r="H47" s="39" t="str">
        <f t="shared" ca="1" si="21"/>
        <v>0</v>
      </c>
      <c r="I47" s="39" t="e">
        <f t="shared" ca="1" si="21"/>
        <v>#NUM!</v>
      </c>
      <c r="J47" s="39" t="str">
        <f t="shared" ca="1" si="21"/>
        <v>0</v>
      </c>
      <c r="K47" s="39" t="e">
        <f t="shared" ca="1" si="21"/>
        <v>#NUM!</v>
      </c>
      <c r="L47" s="39" t="str">
        <f t="shared" ca="1" si="21"/>
        <v>0</v>
      </c>
      <c r="M47" s="123" t="str">
        <f>BIN2HEX(CONCATENATE(M46,N46,O46,P46,Q46,R46,S46,T46),2)</f>
        <v>00</v>
      </c>
      <c r="N47" s="124"/>
      <c r="O47" s="124"/>
      <c r="P47" s="124"/>
      <c r="Q47" s="124"/>
      <c r="R47" s="124"/>
      <c r="S47" s="124"/>
      <c r="T47" s="125"/>
      <c r="U47" s="39" t="e">
        <f ca="1">DEC2HEX(U46,INDIRECT("'parameters recipe'!$C"&amp;U$27))</f>
        <v>#NUM!</v>
      </c>
      <c r="V47" s="39" t="e">
        <f ca="1">DEC2HEX(V46,INDIRECT("'parameters recipe'!$C"&amp;V$27))</f>
        <v>#NUM!</v>
      </c>
      <c r="W47" s="39" t="e">
        <f ca="1">DEC2HEX(W46,INDIRECT("'parameters recipe'!$C"&amp;W$27))</f>
        <v>#NUM!</v>
      </c>
      <c r="X47" s="39" t="e">
        <f ca="1">DEC2HEX(X46,INDIRECT("'parameters recipe'!$C"&amp;X$27))</f>
        <v>#NUM!</v>
      </c>
      <c r="Y47" s="123" t="str">
        <f>BIN2HEX(CONCATENATE(Y46,Z46,AA46,AB46,AC46,AD46,AE46,AF46),2)</f>
        <v>00</v>
      </c>
      <c r="Z47" s="124"/>
      <c r="AA47" s="124"/>
      <c r="AB47" s="124"/>
      <c r="AC47" s="124"/>
      <c r="AD47" s="124"/>
      <c r="AE47" s="124"/>
      <c r="AF47" s="125"/>
      <c r="AG47" s="123" t="str">
        <f>BIN2HEX(CONCATENATE(AG46,AH46,AI46,AJ46,AK46,AL46,AM46,AN46),2)</f>
        <v>00</v>
      </c>
      <c r="AH47" s="124"/>
      <c r="AI47" s="124"/>
      <c r="AJ47" s="124"/>
      <c r="AK47" s="124"/>
      <c r="AL47" s="124"/>
      <c r="AM47" s="124"/>
      <c r="AN47" s="125"/>
      <c r="AO47" s="123" t="str">
        <f>BIN2HEX(CONCATENATE(AO46,AP46,AQ46,AR46,AS46,AT46,AU46,AV46),2)</f>
        <v>00</v>
      </c>
      <c r="AP47" s="124"/>
      <c r="AQ47" s="124"/>
      <c r="AR47" s="124"/>
      <c r="AS47" s="124"/>
      <c r="AT47" s="124"/>
      <c r="AU47" s="124"/>
      <c r="AV47" s="125"/>
      <c r="AW47" s="123" t="str">
        <f>BIN2HEX(CONCATENATE(AW46,AX46,AY46,AZ46,BA46,BB46,BC46,BD46),2)</f>
        <v>00</v>
      </c>
      <c r="AX47" s="124"/>
      <c r="AY47" s="124"/>
      <c r="AZ47" s="124"/>
      <c r="BA47" s="124"/>
      <c r="BB47" s="124"/>
      <c r="BC47" s="124"/>
      <c r="BD47" s="125"/>
      <c r="BE47" s="123" t="str">
        <f>BIN2HEX(CONCATENATE(BE46,BF46,BG46,BH46,BI46,BJ46,BK46,BL46),2)</f>
        <v>00</v>
      </c>
      <c r="BF47" s="124"/>
      <c r="BG47" s="124"/>
      <c r="BH47" s="124"/>
      <c r="BI47" s="124"/>
      <c r="BJ47" s="124"/>
      <c r="BK47" s="124"/>
      <c r="BL47" s="125"/>
      <c r="BM47" s="123" t="str">
        <f>BIN2HEX(CONCATENATE(BM46,BN46,BO46,BP46,BQ46,BR46,BS46,BT46),2)</f>
        <v>00</v>
      </c>
      <c r="BN47" s="124"/>
      <c r="BO47" s="124"/>
      <c r="BP47" s="124"/>
      <c r="BQ47" s="124"/>
      <c r="BR47" s="124"/>
      <c r="BS47" s="124"/>
      <c r="BT47" s="125"/>
      <c r="BU47" s="123" t="str">
        <f>BIN2HEX(CONCATENATE(BU46,BV46,BW46,BX46,BY46,BZ46,CA46,CB46),2)</f>
        <v>00</v>
      </c>
      <c r="BV47" s="124"/>
      <c r="BW47" s="124"/>
      <c r="BX47" s="124"/>
      <c r="BY47" s="124"/>
      <c r="BZ47" s="124"/>
      <c r="CA47" s="124"/>
      <c r="CB47" s="125"/>
      <c r="CC47" s="123" t="str">
        <f>BIN2HEX(CONCATENATE(CC46,CD46,CE46,CF46,CG46,CH46,CI46,CJ46),2)</f>
        <v>00</v>
      </c>
      <c r="CD47" s="124"/>
      <c r="CE47" s="124"/>
      <c r="CF47" s="124"/>
      <c r="CG47" s="124"/>
      <c r="CH47" s="124"/>
      <c r="CI47" s="124"/>
      <c r="CJ47" s="125"/>
    </row>
    <row r="48" spans="1:88">
      <c r="A48" s="135" t="s">
        <v>20</v>
      </c>
      <c r="B48" s="32">
        <v>0</v>
      </c>
      <c r="C48" s="32">
        <v>0</v>
      </c>
      <c r="D48" s="32">
        <v>0</v>
      </c>
      <c r="E48" s="32">
        <v>0</v>
      </c>
      <c r="F48" s="32">
        <v>0</v>
      </c>
      <c r="G48" s="32">
        <v>0</v>
      </c>
      <c r="H48" s="32">
        <v>0</v>
      </c>
      <c r="I48" s="32">
        <v>0</v>
      </c>
      <c r="J48" s="32">
        <v>0</v>
      </c>
      <c r="K48" s="32">
        <v>0</v>
      </c>
      <c r="L48" s="32">
        <v>0</v>
      </c>
      <c r="M48" s="32">
        <v>0</v>
      </c>
      <c r="N48" s="32">
        <v>0</v>
      </c>
      <c r="O48" s="32">
        <v>0</v>
      </c>
      <c r="P48" s="32">
        <v>0</v>
      </c>
      <c r="Q48" s="32">
        <v>0</v>
      </c>
      <c r="R48" s="32">
        <v>0</v>
      </c>
      <c r="S48" s="32">
        <v>0</v>
      </c>
      <c r="T48" s="32">
        <v>0</v>
      </c>
      <c r="U48" s="32">
        <v>0</v>
      </c>
      <c r="V48" s="32">
        <v>0</v>
      </c>
      <c r="W48" s="32">
        <v>0</v>
      </c>
      <c r="X48" s="32">
        <v>0</v>
      </c>
      <c r="Y48" s="32">
        <v>0</v>
      </c>
      <c r="Z48" s="32">
        <v>0</v>
      </c>
      <c r="AA48" s="32">
        <v>0</v>
      </c>
      <c r="AB48" s="32">
        <v>0</v>
      </c>
      <c r="AC48" s="32">
        <v>0</v>
      </c>
      <c r="AD48" s="32">
        <v>0</v>
      </c>
      <c r="AE48" s="32">
        <v>0</v>
      </c>
      <c r="AF48" s="32">
        <v>0</v>
      </c>
      <c r="AG48" s="32">
        <v>0</v>
      </c>
      <c r="AH48" s="32">
        <v>0</v>
      </c>
      <c r="AI48" s="32">
        <v>0</v>
      </c>
      <c r="AJ48" s="32">
        <v>0</v>
      </c>
      <c r="AK48" s="32">
        <v>0</v>
      </c>
      <c r="AL48" s="32">
        <v>0</v>
      </c>
      <c r="AM48" s="32">
        <v>0</v>
      </c>
      <c r="AN48" s="32">
        <v>0</v>
      </c>
      <c r="AO48" s="32">
        <v>0</v>
      </c>
      <c r="AP48" s="32">
        <v>0</v>
      </c>
      <c r="AQ48" s="32">
        <v>0</v>
      </c>
      <c r="AR48" s="32">
        <v>0</v>
      </c>
      <c r="AS48" s="32">
        <v>0</v>
      </c>
      <c r="AT48" s="32">
        <v>0</v>
      </c>
      <c r="AU48" s="32">
        <v>0</v>
      </c>
      <c r="AV48" s="32">
        <v>0</v>
      </c>
      <c r="AW48" s="32">
        <v>0</v>
      </c>
      <c r="AX48" s="32">
        <v>0</v>
      </c>
      <c r="AY48" s="32">
        <v>0</v>
      </c>
      <c r="AZ48" s="32">
        <v>0</v>
      </c>
      <c r="BA48" s="32">
        <v>0</v>
      </c>
      <c r="BB48" s="32">
        <v>0</v>
      </c>
      <c r="BC48" s="32">
        <v>0</v>
      </c>
      <c r="BD48" s="32">
        <v>0</v>
      </c>
      <c r="BE48" s="32">
        <v>0</v>
      </c>
      <c r="BF48" s="32">
        <v>0</v>
      </c>
      <c r="BG48" s="32">
        <v>0</v>
      </c>
      <c r="BH48" s="32">
        <v>0</v>
      </c>
      <c r="BI48" s="32">
        <v>0</v>
      </c>
      <c r="BJ48" s="32">
        <v>0</v>
      </c>
      <c r="BK48" s="32">
        <v>0</v>
      </c>
      <c r="BL48" s="32">
        <v>0</v>
      </c>
      <c r="BM48" s="32">
        <v>0</v>
      </c>
      <c r="BN48" s="32">
        <v>0</v>
      </c>
      <c r="BO48" s="32">
        <v>0</v>
      </c>
      <c r="BP48" s="32">
        <v>0</v>
      </c>
      <c r="BQ48" s="32">
        <v>0</v>
      </c>
      <c r="BR48" s="32">
        <v>0</v>
      </c>
      <c r="BS48" s="32">
        <v>0</v>
      </c>
      <c r="BT48" s="32">
        <v>0</v>
      </c>
      <c r="BU48" s="32">
        <v>0</v>
      </c>
      <c r="BV48" s="32">
        <v>0</v>
      </c>
      <c r="BW48" s="32">
        <v>0</v>
      </c>
      <c r="BX48" s="32">
        <v>0</v>
      </c>
      <c r="BY48" s="32">
        <v>0</v>
      </c>
      <c r="BZ48" s="32">
        <v>0</v>
      </c>
      <c r="CA48" s="32">
        <v>0</v>
      </c>
      <c r="CB48" s="32">
        <v>0</v>
      </c>
      <c r="CC48" s="32">
        <v>0</v>
      </c>
      <c r="CD48" s="32">
        <v>0</v>
      </c>
      <c r="CE48" s="32">
        <v>0</v>
      </c>
      <c r="CF48" s="32">
        <v>0</v>
      </c>
      <c r="CG48" s="32">
        <v>0</v>
      </c>
      <c r="CH48" s="32">
        <v>0</v>
      </c>
      <c r="CI48" s="32">
        <v>0</v>
      </c>
      <c r="CJ48" s="32">
        <v>0</v>
      </c>
    </row>
    <row r="49" spans="1:88" hidden="1">
      <c r="A49" s="136"/>
      <c r="B49" s="39" t="str">
        <f t="shared" ref="B49:L49" ca="1" si="22">DEC2HEX(B48,INDIRECT("'parameters recipe'!$C"&amp;B$27))</f>
        <v>0</v>
      </c>
      <c r="C49" s="39" t="e">
        <f t="shared" ca="1" si="22"/>
        <v>#NUM!</v>
      </c>
      <c r="D49" s="39" t="str">
        <f t="shared" ca="1" si="22"/>
        <v>0</v>
      </c>
      <c r="E49" s="39" t="e">
        <f t="shared" ca="1" si="22"/>
        <v>#NUM!</v>
      </c>
      <c r="F49" s="39" t="str">
        <f t="shared" ca="1" si="22"/>
        <v>0</v>
      </c>
      <c r="G49" s="39" t="e">
        <f t="shared" ca="1" si="22"/>
        <v>#NUM!</v>
      </c>
      <c r="H49" s="39" t="str">
        <f t="shared" ca="1" si="22"/>
        <v>0</v>
      </c>
      <c r="I49" s="39" t="e">
        <f t="shared" ca="1" si="22"/>
        <v>#NUM!</v>
      </c>
      <c r="J49" s="39" t="str">
        <f t="shared" ca="1" si="22"/>
        <v>0</v>
      </c>
      <c r="K49" s="39" t="e">
        <f t="shared" ca="1" si="22"/>
        <v>#NUM!</v>
      </c>
      <c r="L49" s="39" t="str">
        <f t="shared" ca="1" si="22"/>
        <v>0</v>
      </c>
      <c r="M49" s="123" t="str">
        <f>BIN2HEX(CONCATENATE(M48,N48,O48,P48,Q48,R48,S48,T48),2)</f>
        <v>00</v>
      </c>
      <c r="N49" s="124"/>
      <c r="O49" s="124"/>
      <c r="P49" s="124"/>
      <c r="Q49" s="124"/>
      <c r="R49" s="124"/>
      <c r="S49" s="124"/>
      <c r="T49" s="125"/>
      <c r="U49" s="39" t="e">
        <f ca="1">DEC2HEX(U48,INDIRECT("'parameters recipe'!$C"&amp;U$27))</f>
        <v>#NUM!</v>
      </c>
      <c r="V49" s="39" t="e">
        <f ca="1">DEC2HEX(V48,INDIRECT("'parameters recipe'!$C"&amp;V$27))</f>
        <v>#NUM!</v>
      </c>
      <c r="W49" s="39" t="e">
        <f ca="1">DEC2HEX(W48,INDIRECT("'parameters recipe'!$C"&amp;W$27))</f>
        <v>#NUM!</v>
      </c>
      <c r="X49" s="39" t="e">
        <f ca="1">DEC2HEX(X48,INDIRECT("'parameters recipe'!$C"&amp;X$27))</f>
        <v>#NUM!</v>
      </c>
      <c r="Y49" s="123" t="str">
        <f>BIN2HEX(CONCATENATE(Y48,Z48,AA48,AB48,AC48,AD48,AE48,AF48),2)</f>
        <v>00</v>
      </c>
      <c r="Z49" s="124"/>
      <c r="AA49" s="124"/>
      <c r="AB49" s="124"/>
      <c r="AC49" s="124"/>
      <c r="AD49" s="124"/>
      <c r="AE49" s="124"/>
      <c r="AF49" s="125"/>
      <c r="AG49" s="123" t="str">
        <f>BIN2HEX(CONCATENATE(AG48,AH48,AI48,AJ48,AK48,AL48,AM48,AN48),2)</f>
        <v>00</v>
      </c>
      <c r="AH49" s="124"/>
      <c r="AI49" s="124"/>
      <c r="AJ49" s="124"/>
      <c r="AK49" s="124"/>
      <c r="AL49" s="124"/>
      <c r="AM49" s="124"/>
      <c r="AN49" s="125"/>
      <c r="AO49" s="123" t="str">
        <f>BIN2HEX(CONCATENATE(AO48,AP48,AQ48,AR48,AS48,AT48,AU48,AV48),2)</f>
        <v>00</v>
      </c>
      <c r="AP49" s="124"/>
      <c r="AQ49" s="124"/>
      <c r="AR49" s="124"/>
      <c r="AS49" s="124"/>
      <c r="AT49" s="124"/>
      <c r="AU49" s="124"/>
      <c r="AV49" s="125"/>
      <c r="AW49" s="123" t="str">
        <f>BIN2HEX(CONCATENATE(AW48,AX48,AY48,AZ48,BA48,BB48,BC48,BD48),2)</f>
        <v>00</v>
      </c>
      <c r="AX49" s="124"/>
      <c r="AY49" s="124"/>
      <c r="AZ49" s="124"/>
      <c r="BA49" s="124"/>
      <c r="BB49" s="124"/>
      <c r="BC49" s="124"/>
      <c r="BD49" s="125"/>
      <c r="BE49" s="123" t="str">
        <f>BIN2HEX(CONCATENATE(BE48,BF48,BG48,BH48,BI48,BJ48,BK48,BL48),2)</f>
        <v>00</v>
      </c>
      <c r="BF49" s="124"/>
      <c r="BG49" s="124"/>
      <c r="BH49" s="124"/>
      <c r="BI49" s="124"/>
      <c r="BJ49" s="124"/>
      <c r="BK49" s="124"/>
      <c r="BL49" s="125"/>
      <c r="BM49" s="123" t="str">
        <f>BIN2HEX(CONCATENATE(BM48,BN48,BO48,BP48,BQ48,BR48,BS48,BT48),2)</f>
        <v>00</v>
      </c>
      <c r="BN49" s="124"/>
      <c r="BO49" s="124"/>
      <c r="BP49" s="124"/>
      <c r="BQ49" s="124"/>
      <c r="BR49" s="124"/>
      <c r="BS49" s="124"/>
      <c r="BT49" s="125"/>
      <c r="BU49" s="123" t="str">
        <f>BIN2HEX(CONCATENATE(BU48,BV48,BW48,BX48,BY48,BZ48,CA48,CB48),2)</f>
        <v>00</v>
      </c>
      <c r="BV49" s="124"/>
      <c r="BW49" s="124"/>
      <c r="BX49" s="124"/>
      <c r="BY49" s="124"/>
      <c r="BZ49" s="124"/>
      <c r="CA49" s="124"/>
      <c r="CB49" s="125"/>
      <c r="CC49" s="123" t="str">
        <f>BIN2HEX(CONCATENATE(CC48,CD48,CE48,CF48,CG48,CH48,CI48,CJ48),2)</f>
        <v>00</v>
      </c>
      <c r="CD49" s="124"/>
      <c r="CE49" s="124"/>
      <c r="CF49" s="124"/>
      <c r="CG49" s="124"/>
      <c r="CH49" s="124"/>
      <c r="CI49" s="124"/>
      <c r="CJ49" s="125"/>
    </row>
    <row r="50" spans="1:88">
      <c r="A50" s="135" t="s">
        <v>22</v>
      </c>
      <c r="B50" s="32">
        <v>0</v>
      </c>
      <c r="C50" s="32">
        <v>0</v>
      </c>
      <c r="D50" s="32">
        <v>0</v>
      </c>
      <c r="E50" s="32">
        <v>0</v>
      </c>
      <c r="F50" s="32">
        <v>0</v>
      </c>
      <c r="G50" s="32">
        <v>0</v>
      </c>
      <c r="H50" s="32">
        <v>0</v>
      </c>
      <c r="I50" s="32">
        <v>0</v>
      </c>
      <c r="J50" s="32">
        <v>0</v>
      </c>
      <c r="K50" s="32">
        <v>0</v>
      </c>
      <c r="L50" s="32">
        <v>0</v>
      </c>
      <c r="M50" s="32">
        <v>0</v>
      </c>
      <c r="N50" s="32">
        <v>0</v>
      </c>
      <c r="O50" s="32">
        <v>0</v>
      </c>
      <c r="P50" s="32">
        <v>0</v>
      </c>
      <c r="Q50" s="32">
        <v>0</v>
      </c>
      <c r="R50" s="32">
        <v>0</v>
      </c>
      <c r="S50" s="32">
        <v>0</v>
      </c>
      <c r="T50" s="32">
        <v>0</v>
      </c>
      <c r="U50" s="32">
        <v>0</v>
      </c>
      <c r="V50" s="32">
        <v>0</v>
      </c>
      <c r="W50" s="32">
        <v>0</v>
      </c>
      <c r="X50" s="32">
        <v>0</v>
      </c>
      <c r="Y50" s="32">
        <v>0</v>
      </c>
      <c r="Z50" s="32">
        <v>0</v>
      </c>
      <c r="AA50" s="32">
        <v>0</v>
      </c>
      <c r="AB50" s="32">
        <v>0</v>
      </c>
      <c r="AC50" s="32">
        <v>0</v>
      </c>
      <c r="AD50" s="32">
        <v>0</v>
      </c>
      <c r="AE50" s="32">
        <v>0</v>
      </c>
      <c r="AF50" s="32">
        <v>0</v>
      </c>
      <c r="AG50" s="32">
        <v>0</v>
      </c>
      <c r="AH50" s="32">
        <v>0</v>
      </c>
      <c r="AI50" s="32">
        <v>0</v>
      </c>
      <c r="AJ50" s="32">
        <v>0</v>
      </c>
      <c r="AK50" s="32">
        <v>0</v>
      </c>
      <c r="AL50" s="32">
        <v>0</v>
      </c>
      <c r="AM50" s="32">
        <v>0</v>
      </c>
      <c r="AN50" s="32">
        <v>0</v>
      </c>
      <c r="AO50" s="32">
        <v>0</v>
      </c>
      <c r="AP50" s="32">
        <v>0</v>
      </c>
      <c r="AQ50" s="32">
        <v>0</v>
      </c>
      <c r="AR50" s="32">
        <v>0</v>
      </c>
      <c r="AS50" s="32">
        <v>0</v>
      </c>
      <c r="AT50" s="32">
        <v>0</v>
      </c>
      <c r="AU50" s="32">
        <v>0</v>
      </c>
      <c r="AV50" s="32">
        <v>0</v>
      </c>
      <c r="AW50" s="32">
        <v>0</v>
      </c>
      <c r="AX50" s="32">
        <v>0</v>
      </c>
      <c r="AY50" s="32">
        <v>0</v>
      </c>
      <c r="AZ50" s="32">
        <v>0</v>
      </c>
      <c r="BA50" s="32">
        <v>0</v>
      </c>
      <c r="BB50" s="32">
        <v>0</v>
      </c>
      <c r="BC50" s="32">
        <v>0</v>
      </c>
      <c r="BD50" s="32">
        <v>0</v>
      </c>
      <c r="BE50" s="32">
        <v>0</v>
      </c>
      <c r="BF50" s="32">
        <v>0</v>
      </c>
      <c r="BG50" s="32">
        <v>0</v>
      </c>
      <c r="BH50" s="32">
        <v>0</v>
      </c>
      <c r="BI50" s="32">
        <v>0</v>
      </c>
      <c r="BJ50" s="32">
        <v>0</v>
      </c>
      <c r="BK50" s="32">
        <v>0</v>
      </c>
      <c r="BL50" s="32">
        <v>0</v>
      </c>
      <c r="BM50" s="32">
        <v>0</v>
      </c>
      <c r="BN50" s="32">
        <v>0</v>
      </c>
      <c r="BO50" s="32">
        <v>0</v>
      </c>
      <c r="BP50" s="32">
        <v>0</v>
      </c>
      <c r="BQ50" s="32">
        <v>0</v>
      </c>
      <c r="BR50" s="32">
        <v>0</v>
      </c>
      <c r="BS50" s="32">
        <v>0</v>
      </c>
      <c r="BT50" s="32">
        <v>0</v>
      </c>
      <c r="BU50" s="32">
        <v>0</v>
      </c>
      <c r="BV50" s="32">
        <v>0</v>
      </c>
      <c r="BW50" s="32">
        <v>0</v>
      </c>
      <c r="BX50" s="32">
        <v>0</v>
      </c>
      <c r="BY50" s="32">
        <v>0</v>
      </c>
      <c r="BZ50" s="32">
        <v>0</v>
      </c>
      <c r="CA50" s="32">
        <v>0</v>
      </c>
      <c r="CB50" s="32">
        <v>0</v>
      </c>
      <c r="CC50" s="32">
        <v>0</v>
      </c>
      <c r="CD50" s="32">
        <v>0</v>
      </c>
      <c r="CE50" s="32">
        <v>0</v>
      </c>
      <c r="CF50" s="32">
        <v>0</v>
      </c>
      <c r="CG50" s="32">
        <v>0</v>
      </c>
      <c r="CH50" s="32">
        <v>0</v>
      </c>
      <c r="CI50" s="32">
        <v>0</v>
      </c>
      <c r="CJ50" s="32">
        <v>0</v>
      </c>
    </row>
    <row r="51" spans="1:88" hidden="1">
      <c r="A51" s="136"/>
      <c r="B51" s="39" t="str">
        <f t="shared" ref="B51:L51" ca="1" si="23">DEC2HEX(B50,INDIRECT("'parameters recipe'!$C"&amp;B$27))</f>
        <v>0</v>
      </c>
      <c r="C51" s="39" t="e">
        <f t="shared" ca="1" si="23"/>
        <v>#NUM!</v>
      </c>
      <c r="D51" s="39" t="str">
        <f t="shared" ca="1" si="23"/>
        <v>0</v>
      </c>
      <c r="E51" s="39" t="e">
        <f t="shared" ca="1" si="23"/>
        <v>#NUM!</v>
      </c>
      <c r="F51" s="39" t="str">
        <f t="shared" ca="1" si="23"/>
        <v>0</v>
      </c>
      <c r="G51" s="39" t="e">
        <f t="shared" ca="1" si="23"/>
        <v>#NUM!</v>
      </c>
      <c r="H51" s="39" t="str">
        <f t="shared" ca="1" si="23"/>
        <v>0</v>
      </c>
      <c r="I51" s="39" t="e">
        <f t="shared" ca="1" si="23"/>
        <v>#NUM!</v>
      </c>
      <c r="J51" s="39" t="str">
        <f t="shared" ca="1" si="23"/>
        <v>0</v>
      </c>
      <c r="K51" s="39" t="e">
        <f t="shared" ca="1" si="23"/>
        <v>#NUM!</v>
      </c>
      <c r="L51" s="39" t="str">
        <f t="shared" ca="1" si="23"/>
        <v>0</v>
      </c>
      <c r="M51" s="123" t="str">
        <f>BIN2HEX(CONCATENATE(M50,N50,O50,P50,Q50,R50,S50,T50),2)</f>
        <v>00</v>
      </c>
      <c r="N51" s="124"/>
      <c r="O51" s="124"/>
      <c r="P51" s="124"/>
      <c r="Q51" s="124"/>
      <c r="R51" s="124"/>
      <c r="S51" s="124"/>
      <c r="T51" s="125"/>
      <c r="U51" s="39" t="e">
        <f ca="1">DEC2HEX(U50,INDIRECT("'parameters recipe'!$C"&amp;U$27))</f>
        <v>#NUM!</v>
      </c>
      <c r="V51" s="39" t="e">
        <f ca="1">DEC2HEX(V50,INDIRECT("'parameters recipe'!$C"&amp;V$27))</f>
        <v>#NUM!</v>
      </c>
      <c r="W51" s="39" t="e">
        <f ca="1">DEC2HEX(W50,INDIRECT("'parameters recipe'!$C"&amp;W$27))</f>
        <v>#NUM!</v>
      </c>
      <c r="X51" s="39" t="e">
        <f ca="1">DEC2HEX(X50,INDIRECT("'parameters recipe'!$C"&amp;X$27))</f>
        <v>#NUM!</v>
      </c>
      <c r="Y51" s="123" t="str">
        <f>BIN2HEX(CONCATENATE(Y50,Z50,AA50,AB50,AC50,AD50,AE50,AF50),2)</f>
        <v>00</v>
      </c>
      <c r="Z51" s="124"/>
      <c r="AA51" s="124"/>
      <c r="AB51" s="124"/>
      <c r="AC51" s="124"/>
      <c r="AD51" s="124"/>
      <c r="AE51" s="124"/>
      <c r="AF51" s="125"/>
      <c r="AG51" s="123" t="str">
        <f>BIN2HEX(CONCATENATE(AG50,AH50,AI50,AJ50,AK50,AL50,AM50,AN50),2)</f>
        <v>00</v>
      </c>
      <c r="AH51" s="124"/>
      <c r="AI51" s="124"/>
      <c r="AJ51" s="124"/>
      <c r="AK51" s="124"/>
      <c r="AL51" s="124"/>
      <c r="AM51" s="124"/>
      <c r="AN51" s="125"/>
      <c r="AO51" s="123" t="str">
        <f>BIN2HEX(CONCATENATE(AO50,AP50,AQ50,AR50,AS50,AT50,AU50,AV50),2)</f>
        <v>00</v>
      </c>
      <c r="AP51" s="124"/>
      <c r="AQ51" s="124"/>
      <c r="AR51" s="124"/>
      <c r="AS51" s="124"/>
      <c r="AT51" s="124"/>
      <c r="AU51" s="124"/>
      <c r="AV51" s="125"/>
      <c r="AW51" s="123" t="str">
        <f>BIN2HEX(CONCATENATE(AW50,AX50,AY50,AZ50,BA50,BB50,BC50,BD50),2)</f>
        <v>00</v>
      </c>
      <c r="AX51" s="124"/>
      <c r="AY51" s="124"/>
      <c r="AZ51" s="124"/>
      <c r="BA51" s="124"/>
      <c r="BB51" s="124"/>
      <c r="BC51" s="124"/>
      <c r="BD51" s="125"/>
      <c r="BE51" s="123" t="str">
        <f>BIN2HEX(CONCATENATE(BE50,BF50,BG50,BH50,BI50,BJ50,BK50,BL50),2)</f>
        <v>00</v>
      </c>
      <c r="BF51" s="124"/>
      <c r="BG51" s="124"/>
      <c r="BH51" s="124"/>
      <c r="BI51" s="124"/>
      <c r="BJ51" s="124"/>
      <c r="BK51" s="124"/>
      <c r="BL51" s="125"/>
      <c r="BM51" s="123" t="str">
        <f>BIN2HEX(CONCATENATE(BM50,BN50,BO50,BP50,BQ50,BR50,BS50,BT50),2)</f>
        <v>00</v>
      </c>
      <c r="BN51" s="124"/>
      <c r="BO51" s="124"/>
      <c r="BP51" s="124"/>
      <c r="BQ51" s="124"/>
      <c r="BR51" s="124"/>
      <c r="BS51" s="124"/>
      <c r="BT51" s="125"/>
      <c r="BU51" s="123" t="str">
        <f>BIN2HEX(CONCATENATE(BU50,BV50,BW50,BX50,BY50,BZ50,CA50,CB50),2)</f>
        <v>00</v>
      </c>
      <c r="BV51" s="124"/>
      <c r="BW51" s="124"/>
      <c r="BX51" s="124"/>
      <c r="BY51" s="124"/>
      <c r="BZ51" s="124"/>
      <c r="CA51" s="124"/>
      <c r="CB51" s="125"/>
      <c r="CC51" s="123" t="str">
        <f>BIN2HEX(CONCATENATE(CC50,CD50,CE50,CF50,CG50,CH50,CI50,CJ50),2)</f>
        <v>00</v>
      </c>
      <c r="CD51" s="124"/>
      <c r="CE51" s="124"/>
      <c r="CF51" s="124"/>
      <c r="CG51" s="124"/>
      <c r="CH51" s="124"/>
      <c r="CI51" s="124"/>
      <c r="CJ51" s="125"/>
    </row>
    <row r="52" spans="1:88">
      <c r="A52" s="135" t="s">
        <v>23</v>
      </c>
      <c r="B52" s="32">
        <v>0</v>
      </c>
      <c r="C52" s="32">
        <v>0</v>
      </c>
      <c r="D52" s="32">
        <v>0</v>
      </c>
      <c r="E52" s="32">
        <v>0</v>
      </c>
      <c r="F52" s="32">
        <v>0</v>
      </c>
      <c r="G52" s="32">
        <v>0</v>
      </c>
      <c r="H52" s="32">
        <v>0</v>
      </c>
      <c r="I52" s="32">
        <v>0</v>
      </c>
      <c r="J52" s="32">
        <v>0</v>
      </c>
      <c r="K52" s="32">
        <v>0</v>
      </c>
      <c r="L52" s="32">
        <v>0</v>
      </c>
      <c r="M52" s="32">
        <v>0</v>
      </c>
      <c r="N52" s="32">
        <v>0</v>
      </c>
      <c r="O52" s="32">
        <v>0</v>
      </c>
      <c r="P52" s="32">
        <v>0</v>
      </c>
      <c r="Q52" s="32">
        <v>0</v>
      </c>
      <c r="R52" s="32">
        <v>0</v>
      </c>
      <c r="S52" s="32">
        <v>0</v>
      </c>
      <c r="T52" s="32">
        <v>0</v>
      </c>
      <c r="U52" s="32">
        <v>0</v>
      </c>
      <c r="V52" s="32">
        <v>0</v>
      </c>
      <c r="W52" s="32">
        <v>0</v>
      </c>
      <c r="X52" s="32">
        <v>0</v>
      </c>
      <c r="Y52" s="32">
        <v>0</v>
      </c>
      <c r="Z52" s="32">
        <v>0</v>
      </c>
      <c r="AA52" s="32">
        <v>0</v>
      </c>
      <c r="AB52" s="32">
        <v>0</v>
      </c>
      <c r="AC52" s="32">
        <v>0</v>
      </c>
      <c r="AD52" s="32">
        <v>0</v>
      </c>
      <c r="AE52" s="32">
        <v>0</v>
      </c>
      <c r="AF52" s="32">
        <v>0</v>
      </c>
      <c r="AG52" s="32">
        <v>0</v>
      </c>
      <c r="AH52" s="32">
        <v>0</v>
      </c>
      <c r="AI52" s="32">
        <v>0</v>
      </c>
      <c r="AJ52" s="32">
        <v>0</v>
      </c>
      <c r="AK52" s="32">
        <v>0</v>
      </c>
      <c r="AL52" s="32">
        <v>0</v>
      </c>
      <c r="AM52" s="32">
        <v>0</v>
      </c>
      <c r="AN52" s="32">
        <v>0</v>
      </c>
      <c r="AO52" s="32">
        <v>0</v>
      </c>
      <c r="AP52" s="32">
        <v>0</v>
      </c>
      <c r="AQ52" s="32">
        <v>0</v>
      </c>
      <c r="AR52" s="32">
        <v>0</v>
      </c>
      <c r="AS52" s="32">
        <v>0</v>
      </c>
      <c r="AT52" s="32">
        <v>0</v>
      </c>
      <c r="AU52" s="32">
        <v>0</v>
      </c>
      <c r="AV52" s="32">
        <v>0</v>
      </c>
      <c r="AW52" s="32">
        <v>0</v>
      </c>
      <c r="AX52" s="32">
        <v>0</v>
      </c>
      <c r="AY52" s="32">
        <v>0</v>
      </c>
      <c r="AZ52" s="32">
        <v>0</v>
      </c>
      <c r="BA52" s="32">
        <v>0</v>
      </c>
      <c r="BB52" s="32">
        <v>0</v>
      </c>
      <c r="BC52" s="32">
        <v>0</v>
      </c>
      <c r="BD52" s="32">
        <v>0</v>
      </c>
      <c r="BE52" s="32">
        <v>0</v>
      </c>
      <c r="BF52" s="32">
        <v>0</v>
      </c>
      <c r="BG52" s="32">
        <v>0</v>
      </c>
      <c r="BH52" s="32">
        <v>0</v>
      </c>
      <c r="BI52" s="32">
        <v>0</v>
      </c>
      <c r="BJ52" s="32">
        <v>0</v>
      </c>
      <c r="BK52" s="32">
        <v>0</v>
      </c>
      <c r="BL52" s="32">
        <v>0</v>
      </c>
      <c r="BM52" s="32">
        <v>0</v>
      </c>
      <c r="BN52" s="32">
        <v>0</v>
      </c>
      <c r="BO52" s="32">
        <v>0</v>
      </c>
      <c r="BP52" s="32">
        <v>0</v>
      </c>
      <c r="BQ52" s="32">
        <v>0</v>
      </c>
      <c r="BR52" s="32">
        <v>0</v>
      </c>
      <c r="BS52" s="32">
        <v>0</v>
      </c>
      <c r="BT52" s="32">
        <v>0</v>
      </c>
      <c r="BU52" s="32">
        <v>0</v>
      </c>
      <c r="BV52" s="32">
        <v>0</v>
      </c>
      <c r="BW52" s="32">
        <v>0</v>
      </c>
      <c r="BX52" s="32">
        <v>0</v>
      </c>
      <c r="BY52" s="32">
        <v>0</v>
      </c>
      <c r="BZ52" s="32">
        <v>0</v>
      </c>
      <c r="CA52" s="32">
        <v>0</v>
      </c>
      <c r="CB52" s="32">
        <v>0</v>
      </c>
      <c r="CC52" s="32">
        <v>0</v>
      </c>
      <c r="CD52" s="32">
        <v>0</v>
      </c>
      <c r="CE52" s="32">
        <v>0</v>
      </c>
      <c r="CF52" s="32">
        <v>0</v>
      </c>
      <c r="CG52" s="32">
        <v>0</v>
      </c>
      <c r="CH52" s="32">
        <v>0</v>
      </c>
      <c r="CI52" s="32">
        <v>0</v>
      </c>
      <c r="CJ52" s="32">
        <v>0</v>
      </c>
    </row>
    <row r="53" spans="1:88" hidden="1">
      <c r="A53" s="136"/>
      <c r="B53" s="39" t="str">
        <f t="shared" ref="B53:L53" ca="1" si="24">DEC2HEX(B52,INDIRECT("'parameters recipe'!$C"&amp;B$27))</f>
        <v>0</v>
      </c>
      <c r="C53" s="39" t="e">
        <f t="shared" ca="1" si="24"/>
        <v>#NUM!</v>
      </c>
      <c r="D53" s="39" t="str">
        <f t="shared" ca="1" si="24"/>
        <v>0</v>
      </c>
      <c r="E53" s="39" t="e">
        <f t="shared" ca="1" si="24"/>
        <v>#NUM!</v>
      </c>
      <c r="F53" s="39" t="str">
        <f t="shared" ca="1" si="24"/>
        <v>0</v>
      </c>
      <c r="G53" s="39" t="e">
        <f t="shared" ca="1" si="24"/>
        <v>#NUM!</v>
      </c>
      <c r="H53" s="39" t="str">
        <f t="shared" ca="1" si="24"/>
        <v>0</v>
      </c>
      <c r="I53" s="39" t="e">
        <f t="shared" ca="1" si="24"/>
        <v>#NUM!</v>
      </c>
      <c r="J53" s="39" t="str">
        <f t="shared" ca="1" si="24"/>
        <v>0</v>
      </c>
      <c r="K53" s="39" t="e">
        <f t="shared" ca="1" si="24"/>
        <v>#NUM!</v>
      </c>
      <c r="L53" s="39" t="str">
        <f t="shared" ca="1" si="24"/>
        <v>0</v>
      </c>
      <c r="M53" s="123" t="str">
        <f>BIN2HEX(CONCATENATE(M52,N52,O52,P52,Q52,R52,S52,T52),2)</f>
        <v>00</v>
      </c>
      <c r="N53" s="124"/>
      <c r="O53" s="124"/>
      <c r="P53" s="124"/>
      <c r="Q53" s="124"/>
      <c r="R53" s="124"/>
      <c r="S53" s="124"/>
      <c r="T53" s="125"/>
      <c r="U53" s="39" t="e">
        <f ca="1">DEC2HEX(U52,INDIRECT("'parameters recipe'!$C"&amp;U$27))</f>
        <v>#NUM!</v>
      </c>
      <c r="V53" s="39" t="e">
        <f ca="1">DEC2HEX(V52,INDIRECT("'parameters recipe'!$C"&amp;V$27))</f>
        <v>#NUM!</v>
      </c>
      <c r="W53" s="39" t="e">
        <f ca="1">DEC2HEX(W52,INDIRECT("'parameters recipe'!$C"&amp;W$27))</f>
        <v>#NUM!</v>
      </c>
      <c r="X53" s="39" t="e">
        <f ca="1">DEC2HEX(X52,INDIRECT("'parameters recipe'!$C"&amp;X$27))</f>
        <v>#NUM!</v>
      </c>
      <c r="Y53" s="123" t="str">
        <f>BIN2HEX(CONCATENATE(Y52,Z52,AA52,AB52,AC52,AD52,AE52,AF52),2)</f>
        <v>00</v>
      </c>
      <c r="Z53" s="124"/>
      <c r="AA53" s="124"/>
      <c r="AB53" s="124"/>
      <c r="AC53" s="124"/>
      <c r="AD53" s="124"/>
      <c r="AE53" s="124"/>
      <c r="AF53" s="125"/>
      <c r="AG53" s="123" t="str">
        <f>BIN2HEX(CONCATENATE(AG52,AH52,AI52,AJ52,AK52,AL52,AM52,AN52),2)</f>
        <v>00</v>
      </c>
      <c r="AH53" s="124"/>
      <c r="AI53" s="124"/>
      <c r="AJ53" s="124"/>
      <c r="AK53" s="124"/>
      <c r="AL53" s="124"/>
      <c r="AM53" s="124"/>
      <c r="AN53" s="125"/>
      <c r="AO53" s="123" t="str">
        <f>BIN2HEX(CONCATENATE(AO52,AP52,AQ52,AR52,AS52,AT52,AU52,AV52),2)</f>
        <v>00</v>
      </c>
      <c r="AP53" s="124"/>
      <c r="AQ53" s="124"/>
      <c r="AR53" s="124"/>
      <c r="AS53" s="124"/>
      <c r="AT53" s="124"/>
      <c r="AU53" s="124"/>
      <c r="AV53" s="125"/>
      <c r="AW53" s="123" t="str">
        <f>BIN2HEX(CONCATENATE(AW52,AX52,AY52,AZ52,BA52,BB52,BC52,BD52),2)</f>
        <v>00</v>
      </c>
      <c r="AX53" s="124"/>
      <c r="AY53" s="124"/>
      <c r="AZ53" s="124"/>
      <c r="BA53" s="124"/>
      <c r="BB53" s="124"/>
      <c r="BC53" s="124"/>
      <c r="BD53" s="125"/>
      <c r="BE53" s="123" t="str">
        <f>BIN2HEX(CONCATENATE(BE52,BF52,BG52,BH52,BI52,BJ52,BK52,BL52),2)</f>
        <v>00</v>
      </c>
      <c r="BF53" s="124"/>
      <c r="BG53" s="124"/>
      <c r="BH53" s="124"/>
      <c r="BI53" s="124"/>
      <c r="BJ53" s="124"/>
      <c r="BK53" s="124"/>
      <c r="BL53" s="125"/>
      <c r="BM53" s="123" t="str">
        <f>BIN2HEX(CONCATENATE(BM52,BN52,BO52,BP52,BQ52,BR52,BS52,BT52),2)</f>
        <v>00</v>
      </c>
      <c r="BN53" s="124"/>
      <c r="BO53" s="124"/>
      <c r="BP53" s="124"/>
      <c r="BQ53" s="124"/>
      <c r="BR53" s="124"/>
      <c r="BS53" s="124"/>
      <c r="BT53" s="125"/>
      <c r="BU53" s="123" t="str">
        <f>BIN2HEX(CONCATENATE(BU52,BV52,BW52,BX52,BY52,BZ52,CA52,CB52),2)</f>
        <v>00</v>
      </c>
      <c r="BV53" s="124"/>
      <c r="BW53" s="124"/>
      <c r="BX53" s="124"/>
      <c r="BY53" s="124"/>
      <c r="BZ53" s="124"/>
      <c r="CA53" s="124"/>
      <c r="CB53" s="125"/>
      <c r="CC53" s="123" t="str">
        <f>BIN2HEX(CONCATENATE(CC52,CD52,CE52,CF52,CG52,CH52,CI52,CJ52),2)</f>
        <v>00</v>
      </c>
      <c r="CD53" s="124"/>
      <c r="CE53" s="124"/>
      <c r="CF53" s="124"/>
      <c r="CG53" s="124"/>
      <c r="CH53" s="124"/>
      <c r="CI53" s="124"/>
      <c r="CJ53" s="125"/>
    </row>
    <row r="54" spans="1:88">
      <c r="A54" s="135" t="s">
        <v>24</v>
      </c>
      <c r="B54" s="32">
        <v>0</v>
      </c>
      <c r="C54" s="32">
        <v>0</v>
      </c>
      <c r="D54" s="32">
        <v>0</v>
      </c>
      <c r="E54" s="32">
        <v>0</v>
      </c>
      <c r="F54" s="32">
        <v>0</v>
      </c>
      <c r="G54" s="32">
        <v>0</v>
      </c>
      <c r="H54" s="32">
        <v>0</v>
      </c>
      <c r="I54" s="32">
        <v>0</v>
      </c>
      <c r="J54" s="32">
        <v>0</v>
      </c>
      <c r="K54" s="32">
        <v>0</v>
      </c>
      <c r="L54" s="32">
        <v>0</v>
      </c>
      <c r="M54" s="32">
        <v>0</v>
      </c>
      <c r="N54" s="32">
        <v>0</v>
      </c>
      <c r="O54" s="32">
        <v>0</v>
      </c>
      <c r="P54" s="32">
        <v>0</v>
      </c>
      <c r="Q54" s="32">
        <v>0</v>
      </c>
      <c r="R54" s="32">
        <v>0</v>
      </c>
      <c r="S54" s="32">
        <v>0</v>
      </c>
      <c r="T54" s="32">
        <v>0</v>
      </c>
      <c r="U54" s="32">
        <v>0</v>
      </c>
      <c r="V54" s="32">
        <v>0</v>
      </c>
      <c r="W54" s="32">
        <v>0</v>
      </c>
      <c r="X54" s="32">
        <v>0</v>
      </c>
      <c r="Y54" s="32">
        <v>0</v>
      </c>
      <c r="Z54" s="32">
        <v>0</v>
      </c>
      <c r="AA54" s="32">
        <v>0</v>
      </c>
      <c r="AB54" s="32">
        <v>0</v>
      </c>
      <c r="AC54" s="32">
        <v>0</v>
      </c>
      <c r="AD54" s="32">
        <v>0</v>
      </c>
      <c r="AE54" s="32">
        <v>0</v>
      </c>
      <c r="AF54" s="32">
        <v>0</v>
      </c>
      <c r="AG54" s="32">
        <v>0</v>
      </c>
      <c r="AH54" s="32">
        <v>0</v>
      </c>
      <c r="AI54" s="32">
        <v>0</v>
      </c>
      <c r="AJ54" s="32">
        <v>0</v>
      </c>
      <c r="AK54" s="32">
        <v>0</v>
      </c>
      <c r="AL54" s="32">
        <v>0</v>
      </c>
      <c r="AM54" s="32">
        <v>0</v>
      </c>
      <c r="AN54" s="32">
        <v>0</v>
      </c>
      <c r="AO54" s="32">
        <v>0</v>
      </c>
      <c r="AP54" s="32">
        <v>0</v>
      </c>
      <c r="AQ54" s="32">
        <v>0</v>
      </c>
      <c r="AR54" s="32">
        <v>0</v>
      </c>
      <c r="AS54" s="32">
        <v>0</v>
      </c>
      <c r="AT54" s="32">
        <v>0</v>
      </c>
      <c r="AU54" s="32">
        <v>0</v>
      </c>
      <c r="AV54" s="32">
        <v>0</v>
      </c>
      <c r="AW54" s="32">
        <v>0</v>
      </c>
      <c r="AX54" s="32">
        <v>0</v>
      </c>
      <c r="AY54" s="32">
        <v>0</v>
      </c>
      <c r="AZ54" s="32">
        <v>0</v>
      </c>
      <c r="BA54" s="32">
        <v>0</v>
      </c>
      <c r="BB54" s="32">
        <v>0</v>
      </c>
      <c r="BC54" s="32">
        <v>0</v>
      </c>
      <c r="BD54" s="32">
        <v>0</v>
      </c>
      <c r="BE54" s="32">
        <v>0</v>
      </c>
      <c r="BF54" s="32">
        <v>0</v>
      </c>
      <c r="BG54" s="32">
        <v>0</v>
      </c>
      <c r="BH54" s="32">
        <v>0</v>
      </c>
      <c r="BI54" s="32">
        <v>0</v>
      </c>
      <c r="BJ54" s="32">
        <v>0</v>
      </c>
      <c r="BK54" s="32">
        <v>0</v>
      </c>
      <c r="BL54" s="32">
        <v>0</v>
      </c>
      <c r="BM54" s="32">
        <v>0</v>
      </c>
      <c r="BN54" s="32">
        <v>0</v>
      </c>
      <c r="BO54" s="32">
        <v>0</v>
      </c>
      <c r="BP54" s="32">
        <v>0</v>
      </c>
      <c r="BQ54" s="32">
        <v>0</v>
      </c>
      <c r="BR54" s="32">
        <v>0</v>
      </c>
      <c r="BS54" s="32">
        <v>0</v>
      </c>
      <c r="BT54" s="32">
        <v>0</v>
      </c>
      <c r="BU54" s="32">
        <v>0</v>
      </c>
      <c r="BV54" s="32">
        <v>0</v>
      </c>
      <c r="BW54" s="32">
        <v>0</v>
      </c>
      <c r="BX54" s="32">
        <v>0</v>
      </c>
      <c r="BY54" s="32">
        <v>0</v>
      </c>
      <c r="BZ54" s="32">
        <v>0</v>
      </c>
      <c r="CA54" s="32">
        <v>0</v>
      </c>
      <c r="CB54" s="32">
        <v>0</v>
      </c>
      <c r="CC54" s="32">
        <v>0</v>
      </c>
      <c r="CD54" s="32">
        <v>0</v>
      </c>
      <c r="CE54" s="32">
        <v>0</v>
      </c>
      <c r="CF54" s="32">
        <v>0</v>
      </c>
      <c r="CG54" s="32">
        <v>0</v>
      </c>
      <c r="CH54" s="32">
        <v>0</v>
      </c>
      <c r="CI54" s="32">
        <v>0</v>
      </c>
      <c r="CJ54" s="32">
        <v>0</v>
      </c>
    </row>
    <row r="55" spans="1:88" hidden="1">
      <c r="A55" s="136"/>
      <c r="B55" s="39" t="str">
        <f t="shared" ref="B55:L55" ca="1" si="25">DEC2HEX(B54,INDIRECT("'parameters recipe'!$C"&amp;B$27))</f>
        <v>0</v>
      </c>
      <c r="C55" s="39" t="e">
        <f t="shared" ca="1" si="25"/>
        <v>#NUM!</v>
      </c>
      <c r="D55" s="39" t="str">
        <f t="shared" ca="1" si="25"/>
        <v>0</v>
      </c>
      <c r="E55" s="39" t="e">
        <f t="shared" ca="1" si="25"/>
        <v>#NUM!</v>
      </c>
      <c r="F55" s="39" t="str">
        <f t="shared" ca="1" si="25"/>
        <v>0</v>
      </c>
      <c r="G55" s="39" t="e">
        <f t="shared" ca="1" si="25"/>
        <v>#NUM!</v>
      </c>
      <c r="H55" s="39" t="str">
        <f t="shared" ca="1" si="25"/>
        <v>0</v>
      </c>
      <c r="I55" s="39" t="e">
        <f t="shared" ca="1" si="25"/>
        <v>#NUM!</v>
      </c>
      <c r="J55" s="39" t="str">
        <f t="shared" ca="1" si="25"/>
        <v>0</v>
      </c>
      <c r="K55" s="39" t="e">
        <f t="shared" ca="1" si="25"/>
        <v>#NUM!</v>
      </c>
      <c r="L55" s="39" t="str">
        <f t="shared" ca="1" si="25"/>
        <v>0</v>
      </c>
      <c r="M55" s="123" t="str">
        <f>BIN2HEX(CONCATENATE(M54,N54,O54,P54,Q54,R54,S54,T54),2)</f>
        <v>00</v>
      </c>
      <c r="N55" s="124"/>
      <c r="O55" s="124"/>
      <c r="P55" s="124"/>
      <c r="Q55" s="124"/>
      <c r="R55" s="124"/>
      <c r="S55" s="124"/>
      <c r="T55" s="125"/>
      <c r="U55" s="39" t="e">
        <f ca="1">DEC2HEX(U54,INDIRECT("'parameters recipe'!$C"&amp;U$27))</f>
        <v>#NUM!</v>
      </c>
      <c r="V55" s="39" t="e">
        <f ca="1">DEC2HEX(V54,INDIRECT("'parameters recipe'!$C"&amp;V$27))</f>
        <v>#NUM!</v>
      </c>
      <c r="W55" s="39" t="e">
        <f ca="1">DEC2HEX(W54,INDIRECT("'parameters recipe'!$C"&amp;W$27))</f>
        <v>#NUM!</v>
      </c>
      <c r="X55" s="39" t="e">
        <f ca="1">DEC2HEX(X54,INDIRECT("'parameters recipe'!$C"&amp;X$27))</f>
        <v>#NUM!</v>
      </c>
      <c r="Y55" s="123" t="str">
        <f>BIN2HEX(CONCATENATE(Y54,Z54,AA54,AB54,AC54,AD54,AE54,AF54),2)</f>
        <v>00</v>
      </c>
      <c r="Z55" s="124"/>
      <c r="AA55" s="124"/>
      <c r="AB55" s="124"/>
      <c r="AC55" s="124"/>
      <c r="AD55" s="124"/>
      <c r="AE55" s="124"/>
      <c r="AF55" s="125"/>
      <c r="AG55" s="123" t="str">
        <f>BIN2HEX(CONCATENATE(AG54,AH54,AI54,AJ54,AK54,AL54,AM54,AN54),2)</f>
        <v>00</v>
      </c>
      <c r="AH55" s="124"/>
      <c r="AI55" s="124"/>
      <c r="AJ55" s="124"/>
      <c r="AK55" s="124"/>
      <c r="AL55" s="124"/>
      <c r="AM55" s="124"/>
      <c r="AN55" s="125"/>
      <c r="AO55" s="123" t="str">
        <f>BIN2HEX(CONCATENATE(AO54,AP54,AQ54,AR54,AS54,AT54,AU54,AV54),2)</f>
        <v>00</v>
      </c>
      <c r="AP55" s="124"/>
      <c r="AQ55" s="124"/>
      <c r="AR55" s="124"/>
      <c r="AS55" s="124"/>
      <c r="AT55" s="124"/>
      <c r="AU55" s="124"/>
      <c r="AV55" s="125"/>
      <c r="AW55" s="123" t="str">
        <f>BIN2HEX(CONCATENATE(AW54,AX54,AY54,AZ54,BA54,BB54,BC54,BD54),2)</f>
        <v>00</v>
      </c>
      <c r="AX55" s="124"/>
      <c r="AY55" s="124"/>
      <c r="AZ55" s="124"/>
      <c r="BA55" s="124"/>
      <c r="BB55" s="124"/>
      <c r="BC55" s="124"/>
      <c r="BD55" s="125"/>
      <c r="BE55" s="123" t="str">
        <f>BIN2HEX(CONCATENATE(BE54,BF54,BG54,BH54,BI54,BJ54,BK54,BL54),2)</f>
        <v>00</v>
      </c>
      <c r="BF55" s="124"/>
      <c r="BG55" s="124"/>
      <c r="BH55" s="124"/>
      <c r="BI55" s="124"/>
      <c r="BJ55" s="124"/>
      <c r="BK55" s="124"/>
      <c r="BL55" s="125"/>
      <c r="BM55" s="123" t="str">
        <f>BIN2HEX(CONCATENATE(BM54,BN54,BO54,BP54,BQ54,BR54,BS54,BT54),2)</f>
        <v>00</v>
      </c>
      <c r="BN55" s="124"/>
      <c r="BO55" s="124"/>
      <c r="BP55" s="124"/>
      <c r="BQ55" s="124"/>
      <c r="BR55" s="124"/>
      <c r="BS55" s="124"/>
      <c r="BT55" s="125"/>
      <c r="BU55" s="123" t="str">
        <f>BIN2HEX(CONCATENATE(BU54,BV54,BW54,BX54,BY54,BZ54,CA54,CB54),2)</f>
        <v>00</v>
      </c>
      <c r="BV55" s="124"/>
      <c r="BW55" s="124"/>
      <c r="BX55" s="124"/>
      <c r="BY55" s="124"/>
      <c r="BZ55" s="124"/>
      <c r="CA55" s="124"/>
      <c r="CB55" s="125"/>
      <c r="CC55" s="123" t="str">
        <f>BIN2HEX(CONCATENATE(CC54,CD54,CE54,CF54,CG54,CH54,CI54,CJ54),2)</f>
        <v>00</v>
      </c>
      <c r="CD55" s="124"/>
      <c r="CE55" s="124"/>
      <c r="CF55" s="124"/>
      <c r="CG55" s="124"/>
      <c r="CH55" s="124"/>
      <c r="CI55" s="124"/>
      <c r="CJ55" s="125"/>
    </row>
    <row r="56" spans="1:88">
      <c r="A56" s="135" t="s">
        <v>25</v>
      </c>
      <c r="B56" s="32">
        <v>0</v>
      </c>
      <c r="C56" s="32">
        <v>0</v>
      </c>
      <c r="D56" s="32">
        <v>0</v>
      </c>
      <c r="E56" s="32">
        <v>0</v>
      </c>
      <c r="F56" s="32">
        <v>0</v>
      </c>
      <c r="G56" s="32">
        <v>0</v>
      </c>
      <c r="H56" s="32">
        <v>0</v>
      </c>
      <c r="I56" s="32">
        <v>0</v>
      </c>
      <c r="J56" s="32">
        <v>0</v>
      </c>
      <c r="K56" s="32">
        <v>0</v>
      </c>
      <c r="L56" s="32">
        <v>0</v>
      </c>
      <c r="M56" s="32">
        <v>0</v>
      </c>
      <c r="N56" s="32">
        <v>0</v>
      </c>
      <c r="O56" s="32">
        <v>0</v>
      </c>
      <c r="P56" s="32">
        <v>0</v>
      </c>
      <c r="Q56" s="32">
        <v>0</v>
      </c>
      <c r="R56" s="32">
        <v>0</v>
      </c>
      <c r="S56" s="32">
        <v>0</v>
      </c>
      <c r="T56" s="32">
        <v>0</v>
      </c>
      <c r="U56" s="32">
        <v>0</v>
      </c>
      <c r="V56" s="32">
        <v>0</v>
      </c>
      <c r="W56" s="32">
        <v>0</v>
      </c>
      <c r="X56" s="32">
        <v>0</v>
      </c>
      <c r="Y56" s="32">
        <v>0</v>
      </c>
      <c r="Z56" s="32">
        <v>0</v>
      </c>
      <c r="AA56" s="32">
        <v>0</v>
      </c>
      <c r="AB56" s="32">
        <v>0</v>
      </c>
      <c r="AC56" s="32">
        <v>0</v>
      </c>
      <c r="AD56" s="32">
        <v>0</v>
      </c>
      <c r="AE56" s="32">
        <v>0</v>
      </c>
      <c r="AF56" s="32">
        <v>0</v>
      </c>
      <c r="AG56" s="32">
        <v>0</v>
      </c>
      <c r="AH56" s="32">
        <v>0</v>
      </c>
      <c r="AI56" s="32">
        <v>0</v>
      </c>
      <c r="AJ56" s="32">
        <v>0</v>
      </c>
      <c r="AK56" s="32">
        <v>0</v>
      </c>
      <c r="AL56" s="32">
        <v>0</v>
      </c>
      <c r="AM56" s="32">
        <v>0</v>
      </c>
      <c r="AN56" s="32">
        <v>0</v>
      </c>
      <c r="AO56" s="32">
        <v>0</v>
      </c>
      <c r="AP56" s="32">
        <v>0</v>
      </c>
      <c r="AQ56" s="32">
        <v>0</v>
      </c>
      <c r="AR56" s="32">
        <v>0</v>
      </c>
      <c r="AS56" s="32">
        <v>0</v>
      </c>
      <c r="AT56" s="32">
        <v>0</v>
      </c>
      <c r="AU56" s="32">
        <v>0</v>
      </c>
      <c r="AV56" s="32">
        <v>0</v>
      </c>
      <c r="AW56" s="32">
        <v>0</v>
      </c>
      <c r="AX56" s="32">
        <v>0</v>
      </c>
      <c r="AY56" s="32">
        <v>0</v>
      </c>
      <c r="AZ56" s="32">
        <v>0</v>
      </c>
      <c r="BA56" s="32">
        <v>0</v>
      </c>
      <c r="BB56" s="32">
        <v>0</v>
      </c>
      <c r="BC56" s="32">
        <v>0</v>
      </c>
      <c r="BD56" s="32">
        <v>0</v>
      </c>
      <c r="BE56" s="32">
        <v>0</v>
      </c>
      <c r="BF56" s="32">
        <v>0</v>
      </c>
      <c r="BG56" s="32">
        <v>0</v>
      </c>
      <c r="BH56" s="32">
        <v>0</v>
      </c>
      <c r="BI56" s="32">
        <v>0</v>
      </c>
      <c r="BJ56" s="32">
        <v>0</v>
      </c>
      <c r="BK56" s="32">
        <v>0</v>
      </c>
      <c r="BL56" s="32">
        <v>0</v>
      </c>
      <c r="BM56" s="32">
        <v>0</v>
      </c>
      <c r="BN56" s="32">
        <v>0</v>
      </c>
      <c r="BO56" s="32">
        <v>0</v>
      </c>
      <c r="BP56" s="32">
        <v>0</v>
      </c>
      <c r="BQ56" s="32">
        <v>0</v>
      </c>
      <c r="BR56" s="32">
        <v>0</v>
      </c>
      <c r="BS56" s="32">
        <v>0</v>
      </c>
      <c r="BT56" s="32">
        <v>0</v>
      </c>
      <c r="BU56" s="32">
        <v>0</v>
      </c>
      <c r="BV56" s="32">
        <v>0</v>
      </c>
      <c r="BW56" s="32">
        <v>0</v>
      </c>
      <c r="BX56" s="32">
        <v>0</v>
      </c>
      <c r="BY56" s="32">
        <v>0</v>
      </c>
      <c r="BZ56" s="32">
        <v>0</v>
      </c>
      <c r="CA56" s="32">
        <v>0</v>
      </c>
      <c r="CB56" s="32">
        <v>0</v>
      </c>
      <c r="CC56" s="32">
        <v>0</v>
      </c>
      <c r="CD56" s="32">
        <v>0</v>
      </c>
      <c r="CE56" s="32">
        <v>0</v>
      </c>
      <c r="CF56" s="32">
        <v>0</v>
      </c>
      <c r="CG56" s="32">
        <v>0</v>
      </c>
      <c r="CH56" s="32">
        <v>0</v>
      </c>
      <c r="CI56" s="32">
        <v>0</v>
      </c>
      <c r="CJ56" s="32">
        <v>0</v>
      </c>
    </row>
    <row r="57" spans="1:88" hidden="1">
      <c r="A57" s="136"/>
      <c r="B57" s="39" t="str">
        <f t="shared" ref="B57:L57" ca="1" si="26">DEC2HEX(B56,INDIRECT("'parameters recipe'!$C"&amp;B$27))</f>
        <v>0</v>
      </c>
      <c r="C57" s="39" t="e">
        <f t="shared" ca="1" si="26"/>
        <v>#NUM!</v>
      </c>
      <c r="D57" s="39" t="str">
        <f t="shared" ca="1" si="26"/>
        <v>0</v>
      </c>
      <c r="E57" s="39" t="e">
        <f t="shared" ca="1" si="26"/>
        <v>#NUM!</v>
      </c>
      <c r="F57" s="39" t="str">
        <f t="shared" ca="1" si="26"/>
        <v>0</v>
      </c>
      <c r="G57" s="39" t="e">
        <f t="shared" ca="1" si="26"/>
        <v>#NUM!</v>
      </c>
      <c r="H57" s="39" t="str">
        <f t="shared" ca="1" si="26"/>
        <v>0</v>
      </c>
      <c r="I57" s="39" t="e">
        <f t="shared" ca="1" si="26"/>
        <v>#NUM!</v>
      </c>
      <c r="J57" s="39" t="str">
        <f t="shared" ca="1" si="26"/>
        <v>0</v>
      </c>
      <c r="K57" s="39" t="e">
        <f t="shared" ca="1" si="26"/>
        <v>#NUM!</v>
      </c>
      <c r="L57" s="39" t="str">
        <f t="shared" ca="1" si="26"/>
        <v>0</v>
      </c>
      <c r="M57" s="123" t="str">
        <f>BIN2HEX(CONCATENATE(M56,N56,O56,P56,Q56,R56,S56,T56),2)</f>
        <v>00</v>
      </c>
      <c r="N57" s="124"/>
      <c r="O57" s="124"/>
      <c r="P57" s="124"/>
      <c r="Q57" s="124"/>
      <c r="R57" s="124"/>
      <c r="S57" s="124"/>
      <c r="T57" s="125"/>
      <c r="U57" s="39" t="e">
        <f ca="1">DEC2HEX(U56,INDIRECT("'parameters recipe'!$C"&amp;U$27))</f>
        <v>#NUM!</v>
      </c>
      <c r="V57" s="39" t="e">
        <f ca="1">DEC2HEX(V56,INDIRECT("'parameters recipe'!$C"&amp;V$27))</f>
        <v>#NUM!</v>
      </c>
      <c r="W57" s="39" t="e">
        <f ca="1">DEC2HEX(W56,INDIRECT("'parameters recipe'!$C"&amp;W$27))</f>
        <v>#NUM!</v>
      </c>
      <c r="X57" s="39" t="e">
        <f ca="1">DEC2HEX(X56,INDIRECT("'parameters recipe'!$C"&amp;X$27))</f>
        <v>#NUM!</v>
      </c>
      <c r="Y57" s="123" t="str">
        <f>BIN2HEX(CONCATENATE(Y56,Z56,AA56,AB56,AC56,AD56,AE56,AF56),2)</f>
        <v>00</v>
      </c>
      <c r="Z57" s="124"/>
      <c r="AA57" s="124"/>
      <c r="AB57" s="124"/>
      <c r="AC57" s="124"/>
      <c r="AD57" s="124"/>
      <c r="AE57" s="124"/>
      <c r="AF57" s="125"/>
      <c r="AG57" s="123" t="str">
        <f>BIN2HEX(CONCATENATE(AG56,AH56,AI56,AJ56,AK56,AL56,AM56,AN56),2)</f>
        <v>00</v>
      </c>
      <c r="AH57" s="124"/>
      <c r="AI57" s="124"/>
      <c r="AJ57" s="124"/>
      <c r="AK57" s="124"/>
      <c r="AL57" s="124"/>
      <c r="AM57" s="124"/>
      <c r="AN57" s="125"/>
      <c r="AO57" s="123" t="str">
        <f>BIN2HEX(CONCATENATE(AO56,AP56,AQ56,AR56,AS56,AT56,AU56,AV56),2)</f>
        <v>00</v>
      </c>
      <c r="AP57" s="124"/>
      <c r="AQ57" s="124"/>
      <c r="AR57" s="124"/>
      <c r="AS57" s="124"/>
      <c r="AT57" s="124"/>
      <c r="AU57" s="124"/>
      <c r="AV57" s="125"/>
      <c r="AW57" s="123" t="str">
        <f>BIN2HEX(CONCATENATE(AW56,AX56,AY56,AZ56,BA56,BB56,BC56,BD56),2)</f>
        <v>00</v>
      </c>
      <c r="AX57" s="124"/>
      <c r="AY57" s="124"/>
      <c r="AZ57" s="124"/>
      <c r="BA57" s="124"/>
      <c r="BB57" s="124"/>
      <c r="BC57" s="124"/>
      <c r="BD57" s="125"/>
      <c r="BE57" s="123" t="str">
        <f>BIN2HEX(CONCATENATE(BE56,BF56,BG56,BH56,BI56,BJ56,BK56,BL56),2)</f>
        <v>00</v>
      </c>
      <c r="BF57" s="124"/>
      <c r="BG57" s="124"/>
      <c r="BH57" s="124"/>
      <c r="BI57" s="124"/>
      <c r="BJ57" s="124"/>
      <c r="BK57" s="124"/>
      <c r="BL57" s="125"/>
      <c r="BM57" s="123" t="str">
        <f>BIN2HEX(CONCATENATE(BM56,BN56,BO56,BP56,BQ56,BR56,BS56,BT56),2)</f>
        <v>00</v>
      </c>
      <c r="BN57" s="124"/>
      <c r="BO57" s="124"/>
      <c r="BP57" s="124"/>
      <c r="BQ57" s="124"/>
      <c r="BR57" s="124"/>
      <c r="BS57" s="124"/>
      <c r="BT57" s="125"/>
      <c r="BU57" s="123" t="str">
        <f>BIN2HEX(CONCATENATE(BU56,BV56,BW56,BX56,BY56,BZ56,CA56,CB56),2)</f>
        <v>00</v>
      </c>
      <c r="BV57" s="124"/>
      <c r="BW57" s="124"/>
      <c r="BX57" s="124"/>
      <c r="BY57" s="124"/>
      <c r="BZ57" s="124"/>
      <c r="CA57" s="124"/>
      <c r="CB57" s="125"/>
      <c r="CC57" s="123" t="str">
        <f>BIN2HEX(CONCATENATE(CC56,CD56,CE56,CF56,CG56,CH56,CI56,CJ56),2)</f>
        <v>00</v>
      </c>
      <c r="CD57" s="124"/>
      <c r="CE57" s="124"/>
      <c r="CF57" s="124"/>
      <c r="CG57" s="124"/>
      <c r="CH57" s="124"/>
      <c r="CI57" s="124"/>
      <c r="CJ57" s="125"/>
    </row>
    <row r="58" spans="1:88">
      <c r="A58" s="135" t="s">
        <v>122</v>
      </c>
      <c r="B58" s="32">
        <v>0</v>
      </c>
      <c r="C58" s="32">
        <v>0</v>
      </c>
      <c r="D58" s="32">
        <v>0</v>
      </c>
      <c r="E58" s="32">
        <v>0</v>
      </c>
      <c r="F58" s="32">
        <v>0</v>
      </c>
      <c r="G58" s="32">
        <v>0</v>
      </c>
      <c r="H58" s="32">
        <v>0</v>
      </c>
      <c r="I58" s="32">
        <v>0</v>
      </c>
      <c r="J58" s="32">
        <v>0</v>
      </c>
      <c r="K58" s="32">
        <v>0</v>
      </c>
      <c r="L58" s="32">
        <v>0</v>
      </c>
      <c r="M58" s="32">
        <v>0</v>
      </c>
      <c r="N58" s="32">
        <v>0</v>
      </c>
      <c r="O58" s="32">
        <v>0</v>
      </c>
      <c r="P58" s="32">
        <v>0</v>
      </c>
      <c r="Q58" s="32">
        <v>0</v>
      </c>
      <c r="R58" s="32">
        <v>0</v>
      </c>
      <c r="S58" s="32">
        <v>0</v>
      </c>
      <c r="T58" s="32">
        <v>0</v>
      </c>
      <c r="U58" s="32">
        <v>0</v>
      </c>
      <c r="V58" s="32">
        <v>0</v>
      </c>
      <c r="W58" s="32">
        <v>0</v>
      </c>
      <c r="X58" s="32">
        <v>0</v>
      </c>
      <c r="Y58" s="32">
        <v>0</v>
      </c>
      <c r="Z58" s="32">
        <v>0</v>
      </c>
      <c r="AA58" s="32">
        <v>0</v>
      </c>
      <c r="AB58" s="32">
        <v>0</v>
      </c>
      <c r="AC58" s="32">
        <v>0</v>
      </c>
      <c r="AD58" s="32">
        <v>0</v>
      </c>
      <c r="AE58" s="32">
        <v>0</v>
      </c>
      <c r="AF58" s="32">
        <v>0</v>
      </c>
      <c r="AG58" s="32">
        <v>0</v>
      </c>
      <c r="AH58" s="32">
        <v>0</v>
      </c>
      <c r="AI58" s="32">
        <v>0</v>
      </c>
      <c r="AJ58" s="32">
        <v>0</v>
      </c>
      <c r="AK58" s="32">
        <v>0</v>
      </c>
      <c r="AL58" s="32">
        <v>0</v>
      </c>
      <c r="AM58" s="32">
        <v>0</v>
      </c>
      <c r="AN58" s="32">
        <v>0</v>
      </c>
      <c r="AO58" s="32">
        <v>0</v>
      </c>
      <c r="AP58" s="32">
        <v>0</v>
      </c>
      <c r="AQ58" s="32">
        <v>0</v>
      </c>
      <c r="AR58" s="32">
        <v>0</v>
      </c>
      <c r="AS58" s="32">
        <v>0</v>
      </c>
      <c r="AT58" s="32">
        <v>0</v>
      </c>
      <c r="AU58" s="32">
        <v>0</v>
      </c>
      <c r="AV58" s="32">
        <v>0</v>
      </c>
      <c r="AW58" s="32">
        <v>0</v>
      </c>
      <c r="AX58" s="32">
        <v>0</v>
      </c>
      <c r="AY58" s="32">
        <v>0</v>
      </c>
      <c r="AZ58" s="32">
        <v>0</v>
      </c>
      <c r="BA58" s="32">
        <v>0</v>
      </c>
      <c r="BB58" s="32">
        <v>0</v>
      </c>
      <c r="BC58" s="32">
        <v>0</v>
      </c>
      <c r="BD58" s="32">
        <v>0</v>
      </c>
      <c r="BE58" s="32">
        <v>0</v>
      </c>
      <c r="BF58" s="32">
        <v>0</v>
      </c>
      <c r="BG58" s="32">
        <v>0</v>
      </c>
      <c r="BH58" s="32">
        <v>0</v>
      </c>
      <c r="BI58" s="32">
        <v>0</v>
      </c>
      <c r="BJ58" s="32">
        <v>0</v>
      </c>
      <c r="BK58" s="32">
        <v>0</v>
      </c>
      <c r="BL58" s="32">
        <v>0</v>
      </c>
      <c r="BM58" s="32">
        <v>0</v>
      </c>
      <c r="BN58" s="32">
        <v>0</v>
      </c>
      <c r="BO58" s="32">
        <v>0</v>
      </c>
      <c r="BP58" s="32">
        <v>0</v>
      </c>
      <c r="BQ58" s="32">
        <v>0</v>
      </c>
      <c r="BR58" s="32">
        <v>0</v>
      </c>
      <c r="BS58" s="32">
        <v>0</v>
      </c>
      <c r="BT58" s="32">
        <v>0</v>
      </c>
      <c r="BU58" s="32">
        <v>0</v>
      </c>
      <c r="BV58" s="32">
        <v>0</v>
      </c>
      <c r="BW58" s="32">
        <v>0</v>
      </c>
      <c r="BX58" s="32">
        <v>0</v>
      </c>
      <c r="BY58" s="32">
        <v>0</v>
      </c>
      <c r="BZ58" s="32">
        <v>0</v>
      </c>
      <c r="CA58" s="32">
        <v>0</v>
      </c>
      <c r="CB58" s="32">
        <v>0</v>
      </c>
      <c r="CC58" s="32">
        <v>0</v>
      </c>
      <c r="CD58" s="32">
        <v>0</v>
      </c>
      <c r="CE58" s="32">
        <v>0</v>
      </c>
      <c r="CF58" s="32">
        <v>0</v>
      </c>
      <c r="CG58" s="32">
        <v>0</v>
      </c>
      <c r="CH58" s="32">
        <v>0</v>
      </c>
      <c r="CI58" s="32">
        <v>0</v>
      </c>
      <c r="CJ58" s="32">
        <v>0</v>
      </c>
    </row>
    <row r="59" spans="1:88" hidden="1">
      <c r="A59" s="136"/>
      <c r="B59" s="39" t="str">
        <f t="shared" ref="B59:L59" ca="1" si="27">DEC2HEX(B58,INDIRECT("'parameters recipe'!$C"&amp;B$27))</f>
        <v>0</v>
      </c>
      <c r="C59" s="39" t="e">
        <f t="shared" ca="1" si="27"/>
        <v>#NUM!</v>
      </c>
      <c r="D59" s="39" t="str">
        <f t="shared" ca="1" si="27"/>
        <v>0</v>
      </c>
      <c r="E59" s="39" t="e">
        <f t="shared" ca="1" si="27"/>
        <v>#NUM!</v>
      </c>
      <c r="F59" s="39" t="str">
        <f t="shared" ca="1" si="27"/>
        <v>0</v>
      </c>
      <c r="G59" s="39" t="e">
        <f t="shared" ca="1" si="27"/>
        <v>#NUM!</v>
      </c>
      <c r="H59" s="39" t="str">
        <f t="shared" ca="1" si="27"/>
        <v>0</v>
      </c>
      <c r="I59" s="39" t="e">
        <f t="shared" ca="1" si="27"/>
        <v>#NUM!</v>
      </c>
      <c r="J59" s="39" t="str">
        <f t="shared" ca="1" si="27"/>
        <v>0</v>
      </c>
      <c r="K59" s="39" t="e">
        <f t="shared" ca="1" si="27"/>
        <v>#NUM!</v>
      </c>
      <c r="L59" s="39" t="str">
        <f t="shared" ca="1" si="27"/>
        <v>0</v>
      </c>
      <c r="M59" s="123" t="str">
        <f>BIN2HEX(CONCATENATE(M58,N58,O58,P58,Q58,R58,S58,T58),2)</f>
        <v>00</v>
      </c>
      <c r="N59" s="124"/>
      <c r="O59" s="124"/>
      <c r="P59" s="124"/>
      <c r="Q59" s="124"/>
      <c r="R59" s="124"/>
      <c r="S59" s="124"/>
      <c r="T59" s="125"/>
      <c r="U59" s="39" t="e">
        <f ca="1">DEC2HEX(U58,INDIRECT("'parameters recipe'!$C"&amp;U$27))</f>
        <v>#NUM!</v>
      </c>
      <c r="V59" s="39" t="e">
        <f ca="1">DEC2HEX(V58,INDIRECT("'parameters recipe'!$C"&amp;V$27))</f>
        <v>#NUM!</v>
      </c>
      <c r="W59" s="39" t="e">
        <f ca="1">DEC2HEX(W58,INDIRECT("'parameters recipe'!$C"&amp;W$27))</f>
        <v>#NUM!</v>
      </c>
      <c r="X59" s="39" t="e">
        <f ca="1">DEC2HEX(X58,INDIRECT("'parameters recipe'!$C"&amp;X$27))</f>
        <v>#NUM!</v>
      </c>
      <c r="Y59" s="123" t="str">
        <f>BIN2HEX(CONCATENATE(Y58,Z58,AA58,AB58,AC58,AD58,AE58,AF58),2)</f>
        <v>00</v>
      </c>
      <c r="Z59" s="124"/>
      <c r="AA59" s="124"/>
      <c r="AB59" s="124"/>
      <c r="AC59" s="124"/>
      <c r="AD59" s="124"/>
      <c r="AE59" s="124"/>
      <c r="AF59" s="125"/>
      <c r="AG59" s="123" t="str">
        <f>BIN2HEX(CONCATENATE(AG58,AH58,AI58,AJ58,AK58,AL58,AM58,AN58),2)</f>
        <v>00</v>
      </c>
      <c r="AH59" s="124"/>
      <c r="AI59" s="124"/>
      <c r="AJ59" s="124"/>
      <c r="AK59" s="124"/>
      <c r="AL59" s="124"/>
      <c r="AM59" s="124"/>
      <c r="AN59" s="125"/>
      <c r="AO59" s="123" t="str">
        <f>BIN2HEX(CONCATENATE(AO58,AP58,AQ58,AR58,AS58,AT58,AU58,AV58),2)</f>
        <v>00</v>
      </c>
      <c r="AP59" s="124"/>
      <c r="AQ59" s="124"/>
      <c r="AR59" s="124"/>
      <c r="AS59" s="124"/>
      <c r="AT59" s="124"/>
      <c r="AU59" s="124"/>
      <c r="AV59" s="125"/>
      <c r="AW59" s="123" t="str">
        <f>BIN2HEX(CONCATENATE(AW58,AX58,AY58,AZ58,BA58,BB58,BC58,BD58),2)</f>
        <v>00</v>
      </c>
      <c r="AX59" s="124"/>
      <c r="AY59" s="124"/>
      <c r="AZ59" s="124"/>
      <c r="BA59" s="124"/>
      <c r="BB59" s="124"/>
      <c r="BC59" s="124"/>
      <c r="BD59" s="125"/>
      <c r="BE59" s="123" t="str">
        <f>BIN2HEX(CONCATENATE(BE58,BF58,BG58,BH58,BI58,BJ58,BK58,BL58),2)</f>
        <v>00</v>
      </c>
      <c r="BF59" s="124"/>
      <c r="BG59" s="124"/>
      <c r="BH59" s="124"/>
      <c r="BI59" s="124"/>
      <c r="BJ59" s="124"/>
      <c r="BK59" s="124"/>
      <c r="BL59" s="125"/>
      <c r="BM59" s="123" t="str">
        <f>BIN2HEX(CONCATENATE(BM58,BN58,BO58,BP58,BQ58,BR58,BS58,BT58),2)</f>
        <v>00</v>
      </c>
      <c r="BN59" s="124"/>
      <c r="BO59" s="124"/>
      <c r="BP59" s="124"/>
      <c r="BQ59" s="124"/>
      <c r="BR59" s="124"/>
      <c r="BS59" s="124"/>
      <c r="BT59" s="125"/>
      <c r="BU59" s="123" t="str">
        <f>BIN2HEX(CONCATENATE(BU58,BV58,BW58,BX58,BY58,BZ58,CA58,CB58),2)</f>
        <v>00</v>
      </c>
      <c r="BV59" s="124"/>
      <c r="BW59" s="124"/>
      <c r="BX59" s="124"/>
      <c r="BY59" s="124"/>
      <c r="BZ59" s="124"/>
      <c r="CA59" s="124"/>
      <c r="CB59" s="125"/>
      <c r="CC59" s="123" t="str">
        <f>BIN2HEX(CONCATENATE(CC58,CD58,CE58,CF58,CG58,CH58,CI58,CJ58),2)</f>
        <v>00</v>
      </c>
      <c r="CD59" s="124"/>
      <c r="CE59" s="124"/>
      <c r="CF59" s="124"/>
      <c r="CG59" s="124"/>
      <c r="CH59" s="124"/>
      <c r="CI59" s="124"/>
      <c r="CJ59" s="125"/>
    </row>
    <row r="62" spans="1:88">
      <c r="A62" s="45"/>
    </row>
  </sheetData>
  <sheetProtection selectLockedCells="1"/>
  <mergeCells count="203">
    <mergeCell ref="BE57:BL57"/>
    <mergeCell ref="BM57:BT57"/>
    <mergeCell ref="BU57:CB57"/>
    <mergeCell ref="CC57:CJ57"/>
    <mergeCell ref="BE59:BL59"/>
    <mergeCell ref="BM59:BT59"/>
    <mergeCell ref="BU59:CB59"/>
    <mergeCell ref="CC59:CJ59"/>
    <mergeCell ref="BE51:BL51"/>
    <mergeCell ref="BM51:BT51"/>
    <mergeCell ref="BU51:CB51"/>
    <mergeCell ref="CC51:CJ51"/>
    <mergeCell ref="BE53:BL53"/>
    <mergeCell ref="BM53:BT53"/>
    <mergeCell ref="BU53:CB53"/>
    <mergeCell ref="CC53:CJ53"/>
    <mergeCell ref="BE55:BL55"/>
    <mergeCell ref="BM55:BT55"/>
    <mergeCell ref="BU55:CB55"/>
    <mergeCell ref="CC55:CJ55"/>
    <mergeCell ref="BE45:BL45"/>
    <mergeCell ref="BM45:BT45"/>
    <mergeCell ref="BU45:CB45"/>
    <mergeCell ref="CC45:CJ45"/>
    <mergeCell ref="BE47:BL47"/>
    <mergeCell ref="BM47:BT47"/>
    <mergeCell ref="BU47:CB47"/>
    <mergeCell ref="CC47:CJ47"/>
    <mergeCell ref="BE49:BL49"/>
    <mergeCell ref="BM49:BT49"/>
    <mergeCell ref="BU49:CB49"/>
    <mergeCell ref="CC49:CJ49"/>
    <mergeCell ref="BE39:BL39"/>
    <mergeCell ref="BM39:BT39"/>
    <mergeCell ref="BU39:CB39"/>
    <mergeCell ref="CC39:CJ39"/>
    <mergeCell ref="BE41:BL41"/>
    <mergeCell ref="BM41:BT41"/>
    <mergeCell ref="BU41:CB41"/>
    <mergeCell ref="CC41:CJ41"/>
    <mergeCell ref="BE43:BL43"/>
    <mergeCell ref="BM43:BT43"/>
    <mergeCell ref="BU43:CB43"/>
    <mergeCell ref="CC43:CJ43"/>
    <mergeCell ref="BE33:BL33"/>
    <mergeCell ref="BM33:BT33"/>
    <mergeCell ref="BU33:CB33"/>
    <mergeCell ref="CC33:CJ33"/>
    <mergeCell ref="BE35:BL35"/>
    <mergeCell ref="BM35:BT35"/>
    <mergeCell ref="BU35:CB35"/>
    <mergeCell ref="CC35:CJ35"/>
    <mergeCell ref="BE37:BL37"/>
    <mergeCell ref="BM37:BT37"/>
    <mergeCell ref="BU37:CB37"/>
    <mergeCell ref="CC37:CJ37"/>
    <mergeCell ref="BE24:BT24"/>
    <mergeCell ref="BU24:CJ24"/>
    <mergeCell ref="BE29:BL29"/>
    <mergeCell ref="BM29:BT29"/>
    <mergeCell ref="BU29:CB29"/>
    <mergeCell ref="CC29:CJ29"/>
    <mergeCell ref="BE31:BL31"/>
    <mergeCell ref="BM31:BT31"/>
    <mergeCell ref="BU31:CB31"/>
    <mergeCell ref="CC31:CJ31"/>
    <mergeCell ref="A58:A59"/>
    <mergeCell ref="M59:T59"/>
    <mergeCell ref="Y59:AF59"/>
    <mergeCell ref="AG59:AN59"/>
    <mergeCell ref="AO59:AV59"/>
    <mergeCell ref="AW59:BD59"/>
    <mergeCell ref="A56:A57"/>
    <mergeCell ref="M57:T57"/>
    <mergeCell ref="Y57:AF57"/>
    <mergeCell ref="AG57:AN57"/>
    <mergeCell ref="AO57:AV57"/>
    <mergeCell ref="AW57:BD57"/>
    <mergeCell ref="A54:A55"/>
    <mergeCell ref="M55:T55"/>
    <mergeCell ref="Y55:AF55"/>
    <mergeCell ref="AG55:AN55"/>
    <mergeCell ref="AO55:AV55"/>
    <mergeCell ref="AW55:BD55"/>
    <mergeCell ref="A52:A53"/>
    <mergeCell ref="M53:T53"/>
    <mergeCell ref="Y53:AF53"/>
    <mergeCell ref="AG53:AN53"/>
    <mergeCell ref="AO53:AV53"/>
    <mergeCell ref="AW53:BD53"/>
    <mergeCell ref="A50:A51"/>
    <mergeCell ref="M51:T51"/>
    <mergeCell ref="Y51:AF51"/>
    <mergeCell ref="AG51:AN51"/>
    <mergeCell ref="AO51:AV51"/>
    <mergeCell ref="AW51:BD51"/>
    <mergeCell ref="A48:A49"/>
    <mergeCell ref="M49:T49"/>
    <mergeCell ref="Y49:AF49"/>
    <mergeCell ref="AG49:AN49"/>
    <mergeCell ref="AO49:AV49"/>
    <mergeCell ref="AW49:BD49"/>
    <mergeCell ref="A46:A47"/>
    <mergeCell ref="M47:T47"/>
    <mergeCell ref="Y47:AF47"/>
    <mergeCell ref="AG47:AN47"/>
    <mergeCell ref="AO47:AV47"/>
    <mergeCell ref="AW47:BD47"/>
    <mergeCell ref="A44:A45"/>
    <mergeCell ref="M45:T45"/>
    <mergeCell ref="Y45:AF45"/>
    <mergeCell ref="AG45:AN45"/>
    <mergeCell ref="AO45:AV45"/>
    <mergeCell ref="AW45:BD45"/>
    <mergeCell ref="A42:A43"/>
    <mergeCell ref="M43:T43"/>
    <mergeCell ref="Y43:AF43"/>
    <mergeCell ref="AG43:AN43"/>
    <mergeCell ref="AO43:AV43"/>
    <mergeCell ref="AW43:BD43"/>
    <mergeCell ref="A40:A41"/>
    <mergeCell ref="M41:T41"/>
    <mergeCell ref="Y41:AF41"/>
    <mergeCell ref="AG41:AN41"/>
    <mergeCell ref="AO41:AV41"/>
    <mergeCell ref="AW41:BD41"/>
    <mergeCell ref="A38:A39"/>
    <mergeCell ref="M39:T39"/>
    <mergeCell ref="Y39:AF39"/>
    <mergeCell ref="AG39:AN39"/>
    <mergeCell ref="AO39:AV39"/>
    <mergeCell ref="AW39:BD39"/>
    <mergeCell ref="A36:A37"/>
    <mergeCell ref="M37:T37"/>
    <mergeCell ref="Y37:AF37"/>
    <mergeCell ref="AG37:AN37"/>
    <mergeCell ref="AO37:AV37"/>
    <mergeCell ref="AW37:BD37"/>
    <mergeCell ref="A34:A35"/>
    <mergeCell ref="M35:T35"/>
    <mergeCell ref="Y35:AF35"/>
    <mergeCell ref="AG35:AN35"/>
    <mergeCell ref="AO35:AV35"/>
    <mergeCell ref="AW35:BD35"/>
    <mergeCell ref="A32:A33"/>
    <mergeCell ref="M33:T33"/>
    <mergeCell ref="Y33:AF33"/>
    <mergeCell ref="AG33:AN33"/>
    <mergeCell ref="AO33:AV33"/>
    <mergeCell ref="AW33:BD33"/>
    <mergeCell ref="A30:A31"/>
    <mergeCell ref="M31:T31"/>
    <mergeCell ref="Y31:AF31"/>
    <mergeCell ref="AG31:AN31"/>
    <mergeCell ref="AO31:AV31"/>
    <mergeCell ref="AW31:BD31"/>
    <mergeCell ref="AO24:BD24"/>
    <mergeCell ref="A28:A29"/>
    <mergeCell ref="M29:T29"/>
    <mergeCell ref="Y29:AF29"/>
    <mergeCell ref="AG29:AN29"/>
    <mergeCell ref="AO29:AV29"/>
    <mergeCell ref="AW29:BD29"/>
    <mergeCell ref="B21:J21"/>
    <mergeCell ref="B24:E24"/>
    <mergeCell ref="F24:H24"/>
    <mergeCell ref="I24:J24"/>
    <mergeCell ref="K24:L24"/>
    <mergeCell ref="M24:T24"/>
    <mergeCell ref="W24:X24"/>
    <mergeCell ref="Y24:AN24"/>
    <mergeCell ref="L21:U21"/>
    <mergeCell ref="B22:U22"/>
    <mergeCell ref="B18:J18"/>
    <mergeCell ref="B19:J19"/>
    <mergeCell ref="B20:J20"/>
    <mergeCell ref="B15:J15"/>
    <mergeCell ref="B16:J16"/>
    <mergeCell ref="B17:J17"/>
    <mergeCell ref="L15:U15"/>
    <mergeCell ref="L16:U16"/>
    <mergeCell ref="L17:U17"/>
    <mergeCell ref="L18:U18"/>
    <mergeCell ref="L19:U19"/>
    <mergeCell ref="L20:U20"/>
    <mergeCell ref="L6:U6"/>
    <mergeCell ref="L7:U7"/>
    <mergeCell ref="L8:U8"/>
    <mergeCell ref="L9:U9"/>
    <mergeCell ref="L10:U10"/>
    <mergeCell ref="L11:U11"/>
    <mergeCell ref="L12:U12"/>
    <mergeCell ref="L13:U13"/>
    <mergeCell ref="L14:U14"/>
    <mergeCell ref="B6:J6"/>
    <mergeCell ref="B7:J7"/>
    <mergeCell ref="B8:J8"/>
    <mergeCell ref="B12:J12"/>
    <mergeCell ref="B13:J13"/>
    <mergeCell ref="B14:J14"/>
    <mergeCell ref="B9:J9"/>
    <mergeCell ref="B10:J10"/>
    <mergeCell ref="B11:J11"/>
  </mergeCells>
  <pageMargins left="0.7" right="0.7" top="0.75" bottom="0.75" header="0.3" footer="0.3"/>
  <pageSetup orientation="portrait" horizontalDpi="200" verticalDpi="200" copies="0" r:id="rId1"/>
  <drawing r:id="rId2"/>
  <legacyDrawing r:id="rId3"/>
  <oleObjects>
    <mc:AlternateContent xmlns:mc="http://schemas.openxmlformats.org/markup-compatibility/2006">
      <mc:Choice Requires="x14">
        <oleObject progId="Visio.Drawing.15" shapeId="11265" r:id="rId4">
          <objectPr defaultSize="0" r:id="rId5">
            <anchor moveWithCells="1">
              <from>
                <xdr:col>0</xdr:col>
                <xdr:colOff>9525</xdr:colOff>
                <xdr:row>60</xdr:row>
                <xdr:rowOff>171450</xdr:rowOff>
              </from>
              <to>
                <xdr:col>3</xdr:col>
                <xdr:colOff>142875</xdr:colOff>
                <xdr:row>103</xdr:row>
                <xdr:rowOff>142875</xdr:rowOff>
              </to>
            </anchor>
          </objectPr>
        </oleObject>
      </mc:Choice>
      <mc:Fallback>
        <oleObject progId="Visio.Drawing.15" shapeId="11265" r:id="rId4"/>
      </mc:Fallback>
    </mc:AlternateContent>
  </oleObjec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901DC-C368-4549-88F8-43106C70EDB4}">
  <sheetPr codeName="Sheet10"/>
  <dimension ref="A1:DM194"/>
  <sheetViews>
    <sheetView showGridLines="0" zoomScaleNormal="100" workbookViewId="0">
      <selection activeCell="Y11" sqref="Y11"/>
    </sheetView>
  </sheetViews>
  <sheetFormatPr defaultRowHeight="15"/>
  <cols>
    <col min="1" max="1" width="12.28515625" customWidth="1"/>
    <col min="2" max="88" width="6" style="3" customWidth="1"/>
    <col min="89" max="89" width="9" customWidth="1"/>
  </cols>
  <sheetData>
    <row r="1" spans="1:22">
      <c r="A1" t="s">
        <v>26</v>
      </c>
      <c r="B1" s="5" t="s">
        <v>218</v>
      </c>
    </row>
    <row r="3" spans="1:22">
      <c r="A3" t="s">
        <v>121</v>
      </c>
    </row>
    <row r="4" spans="1:22">
      <c r="A4" t="s">
        <v>72</v>
      </c>
    </row>
    <row r="6" spans="1:22" ht="28.5" customHeight="1">
      <c r="A6" s="33" t="s">
        <v>113</v>
      </c>
      <c r="B6" s="117" t="s">
        <v>126</v>
      </c>
      <c r="C6" s="118"/>
      <c r="D6" s="118"/>
      <c r="E6" s="118"/>
      <c r="F6" s="118"/>
      <c r="G6" s="118"/>
      <c r="H6" s="118"/>
      <c r="I6" s="118"/>
      <c r="J6" s="119"/>
      <c r="K6" s="35" t="s">
        <v>73</v>
      </c>
      <c r="L6" s="137" t="e">
        <f t="shared" ref="L6:L21" ca="1" si="0">IF(B6&lt;&gt;"",CONCATENATE(INDIRECT("B"&amp;V6),INDIRECT("C"&amp;V6),INDIRECT("D"&amp;V6),INDIRECT("E"&amp;V6),INDIRECT("F"&amp;V6),INDIRECT("G"&amp;V6),INDIRECT("H"&amp;V6),INDIRECT("I"&amp;V6),INDIRECT("J"&amp;V6),INDIRECT("K"&amp;V6),INDIRECT("L"&amp;V6),INDIRECT("M"&amp;V6),INDIRECT("U"&amp;V6),INDIRECT("V"&amp;V6),INDIRECT("W"&amp;V6),INDIRECT("X"&amp;V6),INDIRECT("Y"&amp;V6),INDIRECT("AG"&amp;V6),INDIRECT("AO"&amp;V6),INDIRECT("AW"&amp;V6),,INDIRECT("BE"&amp;V6),INDIRECT("BM"&amp;V6),INDIRECT("BU"&amp;V6),INDIRECT("CC"&amp;V6)),"")</f>
        <v>#NUM!</v>
      </c>
      <c r="M6" s="138"/>
      <c r="N6" s="138"/>
      <c r="O6" s="138"/>
      <c r="P6" s="138"/>
      <c r="Q6" s="138"/>
      <c r="R6" s="138"/>
      <c r="S6" s="131"/>
      <c r="T6" s="131"/>
      <c r="U6" s="132"/>
      <c r="V6" s="41">
        <v>29</v>
      </c>
    </row>
    <row r="7" spans="1:22" ht="28.5" customHeight="1">
      <c r="A7" s="33" t="s">
        <v>11</v>
      </c>
      <c r="B7" s="117" t="s">
        <v>97</v>
      </c>
      <c r="C7" s="118"/>
      <c r="D7" s="118"/>
      <c r="E7" s="118"/>
      <c r="F7" s="118"/>
      <c r="G7" s="118"/>
      <c r="H7" s="118"/>
      <c r="I7" s="118"/>
      <c r="J7" s="119"/>
      <c r="K7" s="35" t="s">
        <v>73</v>
      </c>
      <c r="L7" s="137" t="e">
        <f t="shared" ca="1" si="0"/>
        <v>#NUM!</v>
      </c>
      <c r="M7" s="138"/>
      <c r="N7" s="138"/>
      <c r="O7" s="138"/>
      <c r="P7" s="138"/>
      <c r="Q7" s="138"/>
      <c r="R7" s="138"/>
      <c r="S7" s="131"/>
      <c r="T7" s="131"/>
      <c r="U7" s="132"/>
      <c r="V7" s="41">
        <f>V6+2</f>
        <v>31</v>
      </c>
    </row>
    <row r="8" spans="1:22" ht="28.5" customHeight="1">
      <c r="A8" s="33" t="s">
        <v>12</v>
      </c>
      <c r="B8" s="117" t="s">
        <v>79</v>
      </c>
      <c r="C8" s="118"/>
      <c r="D8" s="118"/>
      <c r="E8" s="118"/>
      <c r="F8" s="118"/>
      <c r="G8" s="118"/>
      <c r="H8" s="118"/>
      <c r="I8" s="118"/>
      <c r="J8" s="119"/>
      <c r="K8" s="35" t="s">
        <v>73</v>
      </c>
      <c r="L8" s="137" t="e">
        <f t="shared" ca="1" si="0"/>
        <v>#NUM!</v>
      </c>
      <c r="M8" s="138"/>
      <c r="N8" s="138"/>
      <c r="O8" s="138"/>
      <c r="P8" s="138"/>
      <c r="Q8" s="138"/>
      <c r="R8" s="138"/>
      <c r="S8" s="131"/>
      <c r="T8" s="131"/>
      <c r="U8" s="132"/>
      <c r="V8" s="41">
        <f t="shared" ref="V8:V21" si="1">V7+2</f>
        <v>33</v>
      </c>
    </row>
    <row r="9" spans="1:22" ht="43.5" customHeight="1">
      <c r="A9" s="33" t="s">
        <v>13</v>
      </c>
      <c r="B9" s="117" t="s">
        <v>80</v>
      </c>
      <c r="C9" s="118"/>
      <c r="D9" s="118"/>
      <c r="E9" s="118"/>
      <c r="F9" s="118"/>
      <c r="G9" s="118"/>
      <c r="H9" s="118"/>
      <c r="I9" s="118"/>
      <c r="J9" s="119"/>
      <c r="K9" s="35" t="s">
        <v>73</v>
      </c>
      <c r="L9" s="137" t="e">
        <f t="shared" ca="1" si="0"/>
        <v>#NUM!</v>
      </c>
      <c r="M9" s="138"/>
      <c r="N9" s="138"/>
      <c r="O9" s="138"/>
      <c r="P9" s="138"/>
      <c r="Q9" s="138"/>
      <c r="R9" s="138"/>
      <c r="S9" s="131"/>
      <c r="T9" s="131"/>
      <c r="U9" s="132"/>
      <c r="V9" s="41">
        <f t="shared" si="1"/>
        <v>35</v>
      </c>
    </row>
    <row r="10" spans="1:22" ht="28.5" customHeight="1">
      <c r="A10" s="33" t="s">
        <v>14</v>
      </c>
      <c r="B10" s="117" t="s">
        <v>112</v>
      </c>
      <c r="C10" s="118"/>
      <c r="D10" s="118"/>
      <c r="E10" s="118"/>
      <c r="F10" s="118"/>
      <c r="G10" s="118"/>
      <c r="H10" s="118"/>
      <c r="I10" s="118"/>
      <c r="J10" s="119"/>
      <c r="K10" s="35" t="s">
        <v>73</v>
      </c>
      <c r="L10" s="137" t="e">
        <f t="shared" ca="1" si="0"/>
        <v>#NUM!</v>
      </c>
      <c r="M10" s="138"/>
      <c r="N10" s="138"/>
      <c r="O10" s="138"/>
      <c r="P10" s="138"/>
      <c r="Q10" s="138"/>
      <c r="R10" s="138"/>
      <c r="S10" s="131"/>
      <c r="T10" s="131"/>
      <c r="U10" s="132"/>
      <c r="V10" s="41">
        <f t="shared" si="1"/>
        <v>37</v>
      </c>
    </row>
    <row r="11" spans="1:22" ht="28.5" customHeight="1">
      <c r="A11" s="33" t="s">
        <v>15</v>
      </c>
      <c r="B11" s="117"/>
      <c r="C11" s="118"/>
      <c r="D11" s="118"/>
      <c r="E11" s="118"/>
      <c r="F11" s="118"/>
      <c r="G11" s="118"/>
      <c r="H11" s="118"/>
      <c r="I11" s="118"/>
      <c r="J11" s="119"/>
      <c r="K11" s="35" t="s">
        <v>73</v>
      </c>
      <c r="L11" s="137" t="str">
        <f t="shared" ca="1" si="0"/>
        <v/>
      </c>
      <c r="M11" s="138"/>
      <c r="N11" s="138"/>
      <c r="O11" s="138"/>
      <c r="P11" s="138"/>
      <c r="Q11" s="138"/>
      <c r="R11" s="138"/>
      <c r="S11" s="131"/>
      <c r="T11" s="131"/>
      <c r="U11" s="132"/>
      <c r="V11" s="41">
        <f t="shared" si="1"/>
        <v>39</v>
      </c>
    </row>
    <row r="12" spans="1:22" ht="28.5" customHeight="1">
      <c r="A12" s="33" t="s">
        <v>16</v>
      </c>
      <c r="B12" s="117"/>
      <c r="C12" s="118"/>
      <c r="D12" s="118"/>
      <c r="E12" s="118"/>
      <c r="F12" s="118"/>
      <c r="G12" s="118"/>
      <c r="H12" s="118"/>
      <c r="I12" s="118"/>
      <c r="J12" s="119"/>
      <c r="K12" s="35" t="s">
        <v>73</v>
      </c>
      <c r="L12" s="137" t="str">
        <f t="shared" ca="1" si="0"/>
        <v/>
      </c>
      <c r="M12" s="138"/>
      <c r="N12" s="138"/>
      <c r="O12" s="138"/>
      <c r="P12" s="138"/>
      <c r="Q12" s="138"/>
      <c r="R12" s="138"/>
      <c r="S12" s="131"/>
      <c r="T12" s="131"/>
      <c r="U12" s="132"/>
      <c r="V12" s="41">
        <f t="shared" si="1"/>
        <v>41</v>
      </c>
    </row>
    <row r="13" spans="1:22" ht="28.5" customHeight="1">
      <c r="A13" s="33" t="s">
        <v>17</v>
      </c>
      <c r="B13" s="117"/>
      <c r="C13" s="118"/>
      <c r="D13" s="118"/>
      <c r="E13" s="118"/>
      <c r="F13" s="118"/>
      <c r="G13" s="118"/>
      <c r="H13" s="118"/>
      <c r="I13" s="118"/>
      <c r="J13" s="119"/>
      <c r="K13" s="35" t="s">
        <v>73</v>
      </c>
      <c r="L13" s="137" t="str">
        <f t="shared" ca="1" si="0"/>
        <v/>
      </c>
      <c r="M13" s="138"/>
      <c r="N13" s="138"/>
      <c r="O13" s="138"/>
      <c r="P13" s="138"/>
      <c r="Q13" s="138"/>
      <c r="R13" s="138"/>
      <c r="S13" s="131"/>
      <c r="T13" s="131"/>
      <c r="U13" s="132"/>
      <c r="V13" s="41">
        <f t="shared" si="1"/>
        <v>43</v>
      </c>
    </row>
    <row r="14" spans="1:22" ht="28.5" customHeight="1">
      <c r="A14" s="33" t="s">
        <v>18</v>
      </c>
      <c r="B14" s="117"/>
      <c r="C14" s="118"/>
      <c r="D14" s="118"/>
      <c r="E14" s="118"/>
      <c r="F14" s="118"/>
      <c r="G14" s="118"/>
      <c r="H14" s="118"/>
      <c r="I14" s="118"/>
      <c r="J14" s="119"/>
      <c r="K14" s="35" t="s">
        <v>73</v>
      </c>
      <c r="L14" s="137" t="str">
        <f t="shared" ca="1" si="0"/>
        <v/>
      </c>
      <c r="M14" s="138"/>
      <c r="N14" s="138"/>
      <c r="O14" s="138"/>
      <c r="P14" s="138"/>
      <c r="Q14" s="138"/>
      <c r="R14" s="138"/>
      <c r="S14" s="131"/>
      <c r="T14" s="131"/>
      <c r="U14" s="132"/>
      <c r="V14" s="41">
        <f t="shared" si="1"/>
        <v>45</v>
      </c>
    </row>
    <row r="15" spans="1:22" ht="28.5" customHeight="1">
      <c r="A15" s="33" t="s">
        <v>19</v>
      </c>
      <c r="B15" s="117"/>
      <c r="C15" s="118"/>
      <c r="D15" s="118"/>
      <c r="E15" s="118"/>
      <c r="F15" s="118"/>
      <c r="G15" s="118"/>
      <c r="H15" s="118"/>
      <c r="I15" s="118"/>
      <c r="J15" s="119"/>
      <c r="K15" s="35" t="s">
        <v>73</v>
      </c>
      <c r="L15" s="137" t="str">
        <f t="shared" ca="1" si="0"/>
        <v/>
      </c>
      <c r="M15" s="138"/>
      <c r="N15" s="138"/>
      <c r="O15" s="138"/>
      <c r="P15" s="138"/>
      <c r="Q15" s="138"/>
      <c r="R15" s="138"/>
      <c r="S15" s="131"/>
      <c r="T15" s="131"/>
      <c r="U15" s="132"/>
      <c r="V15" s="41">
        <f t="shared" si="1"/>
        <v>47</v>
      </c>
    </row>
    <row r="16" spans="1:22" ht="28.5" customHeight="1">
      <c r="A16" s="33" t="s">
        <v>20</v>
      </c>
      <c r="B16" s="117"/>
      <c r="C16" s="118"/>
      <c r="D16" s="118"/>
      <c r="E16" s="118"/>
      <c r="F16" s="118"/>
      <c r="G16" s="118"/>
      <c r="H16" s="118"/>
      <c r="I16" s="118"/>
      <c r="J16" s="119"/>
      <c r="K16" s="35" t="s">
        <v>73</v>
      </c>
      <c r="L16" s="137" t="str">
        <f t="shared" ca="1" si="0"/>
        <v/>
      </c>
      <c r="M16" s="138"/>
      <c r="N16" s="138"/>
      <c r="O16" s="138"/>
      <c r="P16" s="138"/>
      <c r="Q16" s="138"/>
      <c r="R16" s="138"/>
      <c r="S16" s="131"/>
      <c r="T16" s="131"/>
      <c r="U16" s="132"/>
      <c r="V16" s="41">
        <f t="shared" si="1"/>
        <v>49</v>
      </c>
    </row>
    <row r="17" spans="1:88" ht="28.5" customHeight="1">
      <c r="A17" s="33" t="s">
        <v>22</v>
      </c>
      <c r="B17" s="117"/>
      <c r="C17" s="118"/>
      <c r="D17" s="118"/>
      <c r="E17" s="118"/>
      <c r="F17" s="118"/>
      <c r="G17" s="118"/>
      <c r="H17" s="118"/>
      <c r="I17" s="118"/>
      <c r="J17" s="119"/>
      <c r="K17" s="35" t="s">
        <v>73</v>
      </c>
      <c r="L17" s="137" t="str">
        <f t="shared" ca="1" si="0"/>
        <v/>
      </c>
      <c r="M17" s="138"/>
      <c r="N17" s="138"/>
      <c r="O17" s="138"/>
      <c r="P17" s="138"/>
      <c r="Q17" s="138"/>
      <c r="R17" s="138"/>
      <c r="S17" s="131"/>
      <c r="T17" s="131"/>
      <c r="U17" s="132"/>
      <c r="V17" s="41">
        <f t="shared" si="1"/>
        <v>51</v>
      </c>
    </row>
    <row r="18" spans="1:88" ht="28.5" customHeight="1">
      <c r="A18" s="33" t="s">
        <v>23</v>
      </c>
      <c r="B18" s="117"/>
      <c r="C18" s="118"/>
      <c r="D18" s="118"/>
      <c r="E18" s="118"/>
      <c r="F18" s="118"/>
      <c r="G18" s="118"/>
      <c r="H18" s="118"/>
      <c r="I18" s="118"/>
      <c r="J18" s="119"/>
      <c r="K18" s="35" t="s">
        <v>73</v>
      </c>
      <c r="L18" s="137" t="str">
        <f t="shared" ca="1" si="0"/>
        <v/>
      </c>
      <c r="M18" s="138"/>
      <c r="N18" s="138"/>
      <c r="O18" s="138"/>
      <c r="P18" s="138"/>
      <c r="Q18" s="138"/>
      <c r="R18" s="138"/>
      <c r="S18" s="131"/>
      <c r="T18" s="131"/>
      <c r="U18" s="132"/>
      <c r="V18" s="41">
        <f t="shared" si="1"/>
        <v>53</v>
      </c>
    </row>
    <row r="19" spans="1:88" ht="28.5" customHeight="1">
      <c r="A19" s="33" t="s">
        <v>24</v>
      </c>
      <c r="B19" s="117"/>
      <c r="C19" s="118"/>
      <c r="D19" s="118"/>
      <c r="E19" s="118"/>
      <c r="F19" s="118"/>
      <c r="G19" s="118"/>
      <c r="H19" s="118"/>
      <c r="I19" s="118"/>
      <c r="J19" s="119"/>
      <c r="K19" s="35" t="s">
        <v>73</v>
      </c>
      <c r="L19" s="137" t="str">
        <f t="shared" ca="1" si="0"/>
        <v/>
      </c>
      <c r="M19" s="138"/>
      <c r="N19" s="138"/>
      <c r="O19" s="138"/>
      <c r="P19" s="138"/>
      <c r="Q19" s="138"/>
      <c r="R19" s="138"/>
      <c r="S19" s="131"/>
      <c r="T19" s="131"/>
      <c r="U19" s="132"/>
      <c r="V19" s="41">
        <f t="shared" si="1"/>
        <v>55</v>
      </c>
    </row>
    <row r="20" spans="1:88" ht="28.5" customHeight="1">
      <c r="A20" s="33" t="s">
        <v>25</v>
      </c>
      <c r="B20" s="117"/>
      <c r="C20" s="118"/>
      <c r="D20" s="118"/>
      <c r="E20" s="118"/>
      <c r="F20" s="118"/>
      <c r="G20" s="118"/>
      <c r="H20" s="118"/>
      <c r="I20" s="118"/>
      <c r="J20" s="119"/>
      <c r="K20" s="35" t="s">
        <v>73</v>
      </c>
      <c r="L20" s="137" t="str">
        <f t="shared" ca="1" si="0"/>
        <v/>
      </c>
      <c r="M20" s="138"/>
      <c r="N20" s="138"/>
      <c r="O20" s="138"/>
      <c r="P20" s="138"/>
      <c r="Q20" s="138"/>
      <c r="R20" s="138"/>
      <c r="S20" s="131"/>
      <c r="T20" s="131"/>
      <c r="U20" s="132"/>
      <c r="V20" s="41">
        <f t="shared" si="1"/>
        <v>57</v>
      </c>
      <c r="AA20" s="3" t="str">
        <f t="shared" ref="AA20" si="2">CONCATENATE(B72,C72,D72,E72,F72,G72,H72,I72,J72,K72,L72,M72,U72,V72,W72,X72,Y72,AG72,AO72,AW72)</f>
        <v/>
      </c>
    </row>
    <row r="21" spans="1:88" ht="28.5" customHeight="1">
      <c r="A21" s="33" t="s">
        <v>122</v>
      </c>
      <c r="B21" s="117"/>
      <c r="C21" s="118"/>
      <c r="D21" s="118"/>
      <c r="E21" s="118"/>
      <c r="F21" s="118"/>
      <c r="G21" s="118"/>
      <c r="H21" s="118"/>
      <c r="I21" s="118"/>
      <c r="J21" s="119"/>
      <c r="K21" s="35" t="s">
        <v>73</v>
      </c>
      <c r="L21" s="137" t="str">
        <f t="shared" ca="1" si="0"/>
        <v/>
      </c>
      <c r="M21" s="138"/>
      <c r="N21" s="138"/>
      <c r="O21" s="138"/>
      <c r="P21" s="138"/>
      <c r="Q21" s="138"/>
      <c r="R21" s="138"/>
      <c r="S21" s="131"/>
      <c r="T21" s="131"/>
      <c r="U21" s="132"/>
      <c r="V21" s="41">
        <f t="shared" si="1"/>
        <v>59</v>
      </c>
    </row>
    <row r="22" spans="1:88" ht="82.9" customHeight="1">
      <c r="A22" s="48" t="s">
        <v>71</v>
      </c>
      <c r="B22" s="129" t="e">
        <f ca="1">CONCATENATE(L6,L7,L8,L9,L10,L11,L12,L13,L14,L15,L16,L17,L18,L19,L20,L21)</f>
        <v>#NUM!</v>
      </c>
      <c r="C22" s="130"/>
      <c r="D22" s="130"/>
      <c r="E22" s="130"/>
      <c r="F22" s="130"/>
      <c r="G22" s="130"/>
      <c r="H22" s="130"/>
      <c r="I22" s="130"/>
      <c r="J22" s="130"/>
      <c r="K22" s="130"/>
      <c r="L22" s="130"/>
      <c r="M22" s="130"/>
      <c r="N22" s="130"/>
      <c r="O22" s="130"/>
      <c r="P22" s="130"/>
      <c r="Q22" s="130"/>
      <c r="R22" s="130"/>
      <c r="S22" s="131"/>
      <c r="T22" s="131"/>
      <c r="U22" s="132"/>
    </row>
    <row r="23" spans="1:88">
      <c r="B23" s="2"/>
      <c r="C23" s="36"/>
      <c r="D23" s="4"/>
      <c r="E23" s="4"/>
      <c r="F23" s="37"/>
      <c r="G23" s="4"/>
      <c r="H23" s="37"/>
      <c r="I23" s="4"/>
      <c r="J23" s="4"/>
      <c r="K23" s="4"/>
      <c r="L23" s="4"/>
      <c r="M23" s="4"/>
      <c r="N23" s="4"/>
      <c r="O23" s="4"/>
      <c r="P23" s="4"/>
      <c r="Q23" s="4"/>
      <c r="R23" s="4"/>
      <c r="S23" s="4"/>
      <c r="T23" s="4"/>
    </row>
    <row r="24" spans="1:88">
      <c r="B24" s="126" t="s">
        <v>115</v>
      </c>
      <c r="C24" s="126"/>
      <c r="D24" s="126"/>
      <c r="E24" s="126"/>
      <c r="F24" s="127" t="s">
        <v>116</v>
      </c>
      <c r="G24" s="126"/>
      <c r="H24" s="126"/>
      <c r="I24" s="127" t="s">
        <v>117</v>
      </c>
      <c r="J24" s="126"/>
      <c r="K24" s="127" t="s">
        <v>118</v>
      </c>
      <c r="L24" s="126"/>
      <c r="M24" s="128" t="s">
        <v>114</v>
      </c>
      <c r="N24" s="121"/>
      <c r="O24" s="121"/>
      <c r="P24" s="121"/>
      <c r="Q24" s="121"/>
      <c r="R24" s="121"/>
      <c r="S24" s="121"/>
      <c r="T24" s="122"/>
      <c r="U24" s="38" t="s">
        <v>119</v>
      </c>
      <c r="V24" s="38" t="s">
        <v>67</v>
      </c>
      <c r="W24" s="127" t="s">
        <v>120</v>
      </c>
      <c r="X24" s="126"/>
      <c r="Y24" s="120" t="s">
        <v>77</v>
      </c>
      <c r="Z24" s="121"/>
      <c r="AA24" s="121"/>
      <c r="AB24" s="121"/>
      <c r="AC24" s="121"/>
      <c r="AD24" s="121"/>
      <c r="AE24" s="121"/>
      <c r="AF24" s="121"/>
      <c r="AG24" s="121"/>
      <c r="AH24" s="121"/>
      <c r="AI24" s="121"/>
      <c r="AJ24" s="121"/>
      <c r="AK24" s="121"/>
      <c r="AL24" s="121"/>
      <c r="AM24" s="121"/>
      <c r="AN24" s="122"/>
      <c r="AO24" s="120" t="s">
        <v>78</v>
      </c>
      <c r="AP24" s="121"/>
      <c r="AQ24" s="121"/>
      <c r="AR24" s="121"/>
      <c r="AS24" s="121"/>
      <c r="AT24" s="121"/>
      <c r="AU24" s="121"/>
      <c r="AV24" s="121"/>
      <c r="AW24" s="121"/>
      <c r="AX24" s="121"/>
      <c r="AY24" s="121"/>
      <c r="AZ24" s="121"/>
      <c r="BA24" s="121"/>
      <c r="BB24" s="121"/>
      <c r="BC24" s="121"/>
      <c r="BD24" s="122"/>
      <c r="BE24" s="120" t="s">
        <v>146</v>
      </c>
      <c r="BF24" s="121"/>
      <c r="BG24" s="121"/>
      <c r="BH24" s="121"/>
      <c r="BI24" s="121"/>
      <c r="BJ24" s="121"/>
      <c r="BK24" s="121"/>
      <c r="BL24" s="121"/>
      <c r="BM24" s="121"/>
      <c r="BN24" s="121"/>
      <c r="BO24" s="121"/>
      <c r="BP24" s="121"/>
      <c r="BQ24" s="121"/>
      <c r="BR24" s="121"/>
      <c r="BS24" s="121"/>
      <c r="BT24" s="122"/>
      <c r="BU24" s="120" t="s">
        <v>147</v>
      </c>
      <c r="BV24" s="121"/>
      <c r="BW24" s="121"/>
      <c r="BX24" s="121"/>
      <c r="BY24" s="121"/>
      <c r="BZ24" s="121"/>
      <c r="CA24" s="121"/>
      <c r="CB24" s="121"/>
      <c r="CC24" s="121"/>
      <c r="CD24" s="121"/>
      <c r="CE24" s="121"/>
      <c r="CF24" s="121"/>
      <c r="CG24" s="121"/>
      <c r="CH24" s="121"/>
      <c r="CI24" s="121"/>
      <c r="CJ24" s="122"/>
    </row>
    <row r="25" spans="1:88" s="44" customFormat="1" ht="142.35" customHeight="1">
      <c r="A25" s="42"/>
      <c r="B25" s="43" t="str">
        <f t="shared" ref="B25:L25" ca="1" si="3">IF(INDIRECT("'parameters recipe'!G"&amp;B27)&lt;&gt;0,INDIRECT("'parameters recipe'!G"&amp;B27),"")</f>
        <v>°C</v>
      </c>
      <c r="C25" s="43" t="str">
        <f t="shared" ca="1" si="3"/>
        <v/>
      </c>
      <c r="D25" s="43" t="str">
        <f t="shared" ca="1" si="3"/>
        <v>°C</v>
      </c>
      <c r="E25" s="43" t="str">
        <f t="shared" ca="1" si="3"/>
        <v/>
      </c>
      <c r="F25" s="43" t="str">
        <f t="shared" ca="1" si="3"/>
        <v>°C</v>
      </c>
      <c r="G25" s="43" t="str">
        <f t="shared" ca="1" si="3"/>
        <v/>
      </c>
      <c r="H25" s="43" t="str">
        <f t="shared" ca="1" si="3"/>
        <v>°C</v>
      </c>
      <c r="I25" s="43" t="str">
        <f t="shared" ca="1" si="3"/>
        <v/>
      </c>
      <c r="J25" s="43" t="str">
        <f t="shared" ca="1" si="3"/>
        <v>x 0.1 ml/s</v>
      </c>
      <c r="K25" s="43" t="str">
        <f t="shared" ca="1" si="3"/>
        <v/>
      </c>
      <c r="L25" s="43" t="str">
        <f t="shared" ca="1" si="3"/>
        <v>x 0.1 ml/s</v>
      </c>
      <c r="M25" s="43" t="str">
        <f ca="1">IF(INDIRECT("'parameters recipe'!G"&amp;M27)&lt;&gt;0,INDIRECT("'parameters recipe'!G"&amp;M27),"")</f>
        <v/>
      </c>
      <c r="N25" s="43" t="str">
        <f t="shared" ref="N25:BY25" ca="1" si="4">IF(INDIRECT("'parameters recipe'!G"&amp;N27)&lt;&gt;0,INDIRECT("'parameters recipe'!G"&amp;N27),"")</f>
        <v>%</v>
      </c>
      <c r="O25" s="43" t="str">
        <f t="shared" ca="1" si="4"/>
        <v/>
      </c>
      <c r="P25" s="43" t="str">
        <f t="shared" ca="1" si="4"/>
        <v>x 0.1 Bar</v>
      </c>
      <c r="Q25" s="43" t="str">
        <f t="shared" ca="1" si="4"/>
        <v>x 0.1 Bar</v>
      </c>
      <c r="R25" s="43" t="str">
        <f t="shared" ca="1" si="4"/>
        <v>ml</v>
      </c>
      <c r="S25" s="43" t="str">
        <f t="shared" ca="1" si="4"/>
        <v>ml</v>
      </c>
      <c r="T25" s="43" t="str">
        <f t="shared" ca="1" si="4"/>
        <v>-</v>
      </c>
      <c r="U25" s="43" t="str">
        <f t="shared" ca="1" si="4"/>
        <v/>
      </c>
      <c r="V25" s="43" t="str">
        <f t="shared" ca="1" si="4"/>
        <v/>
      </c>
      <c r="W25" s="43" t="str">
        <f t="shared" ca="1" si="4"/>
        <v/>
      </c>
      <c r="X25" s="43" t="str">
        <f t="shared" ca="1" si="4"/>
        <v/>
      </c>
      <c r="Y25" s="43" t="str">
        <f t="shared" ca="1" si="4"/>
        <v/>
      </c>
      <c r="Z25" s="43" t="str">
        <f t="shared" ca="1" si="4"/>
        <v/>
      </c>
      <c r="AA25" s="43" t="str">
        <f t="shared" ca="1" si="4"/>
        <v/>
      </c>
      <c r="AB25" s="43" t="str">
        <f t="shared" ca="1" si="4"/>
        <v/>
      </c>
      <c r="AC25" s="43" t="str">
        <f t="shared" ca="1" si="4"/>
        <v/>
      </c>
      <c r="AD25" s="43" t="str">
        <f t="shared" ca="1" si="4"/>
        <v>-</v>
      </c>
      <c r="AE25" s="43" t="str">
        <f t="shared" ca="1" si="4"/>
        <v/>
      </c>
      <c r="AF25" s="43" t="str">
        <f t="shared" ca="1" si="4"/>
        <v/>
      </c>
      <c r="AG25" s="43" t="str">
        <f t="shared" ca="1" si="4"/>
        <v/>
      </c>
      <c r="AH25" s="43" t="str">
        <f t="shared" ca="1" si="4"/>
        <v/>
      </c>
      <c r="AI25" s="43" t="str">
        <f t="shared" ca="1" si="4"/>
        <v/>
      </c>
      <c r="AJ25" s="43" t="str">
        <f t="shared" ca="1" si="4"/>
        <v>x 0.1 s</v>
      </c>
      <c r="AK25" s="43" t="str">
        <f t="shared" ca="1" si="4"/>
        <v>-</v>
      </c>
      <c r="AL25" s="43" t="str">
        <f t="shared" ca="1" si="4"/>
        <v/>
      </c>
      <c r="AM25" s="43" t="str">
        <f t="shared" ca="1" si="4"/>
        <v/>
      </c>
      <c r="AN25" s="43" t="str">
        <f t="shared" ca="1" si="4"/>
        <v/>
      </c>
      <c r="AO25" s="43" t="str">
        <f t="shared" ca="1" si="4"/>
        <v>-</v>
      </c>
      <c r="AP25" s="43" t="str">
        <f t="shared" ca="1" si="4"/>
        <v/>
      </c>
      <c r="AQ25" s="43" t="str">
        <f t="shared" ca="1" si="4"/>
        <v/>
      </c>
      <c r="AR25" s="43" t="str">
        <f t="shared" ca="1" si="4"/>
        <v/>
      </c>
      <c r="AS25" s="43" t="str">
        <f t="shared" ca="1" si="4"/>
        <v>-</v>
      </c>
      <c r="AT25" s="43" t="str">
        <f t="shared" ca="1" si="4"/>
        <v>-</v>
      </c>
      <c r="AU25" s="43" t="str">
        <f t="shared" ca="1" si="4"/>
        <v>-</v>
      </c>
      <c r="AV25" s="43" t="str">
        <f t="shared" ca="1" si="4"/>
        <v>-</v>
      </c>
      <c r="AW25" s="43" t="str">
        <f t="shared" ca="1" si="4"/>
        <v>-</v>
      </c>
      <c r="AX25" s="43" t="str">
        <f t="shared" ca="1" si="4"/>
        <v>-</v>
      </c>
      <c r="AY25" s="43" t="str">
        <f t="shared" ca="1" si="4"/>
        <v>-</v>
      </c>
      <c r="AZ25" s="43" t="str">
        <f t="shared" ca="1" si="4"/>
        <v>-</v>
      </c>
      <c r="BA25" s="43" t="str">
        <f t="shared" ca="1" si="4"/>
        <v>-</v>
      </c>
      <c r="BB25" s="43" t="str">
        <f t="shared" ca="1" si="4"/>
        <v>-</v>
      </c>
      <c r="BC25" s="43" t="str">
        <f t="shared" ca="1" si="4"/>
        <v>-</v>
      </c>
      <c r="BD25" s="43" t="str">
        <f t="shared" ca="1" si="4"/>
        <v>-</v>
      </c>
      <c r="BE25" s="43" t="str">
        <f t="shared" ca="1" si="4"/>
        <v>-</v>
      </c>
      <c r="BF25" s="43" t="str">
        <f t="shared" ca="1" si="4"/>
        <v>-</v>
      </c>
      <c r="BG25" s="43" t="str">
        <f t="shared" ca="1" si="4"/>
        <v>-</v>
      </c>
      <c r="BH25" s="43" t="str">
        <f t="shared" ca="1" si="4"/>
        <v>-</v>
      </c>
      <c r="BI25" s="43" t="str">
        <f t="shared" ca="1" si="4"/>
        <v>-</v>
      </c>
      <c r="BJ25" s="43" t="str">
        <f t="shared" ca="1" si="4"/>
        <v>-</v>
      </c>
      <c r="BK25" s="43" t="str">
        <f t="shared" ca="1" si="4"/>
        <v>-</v>
      </c>
      <c r="BL25" s="43" t="str">
        <f t="shared" ca="1" si="4"/>
        <v>-</v>
      </c>
      <c r="BM25" s="43" t="str">
        <f t="shared" ca="1" si="4"/>
        <v>-</v>
      </c>
      <c r="BN25" s="43" t="str">
        <f t="shared" ca="1" si="4"/>
        <v>-</v>
      </c>
      <c r="BO25" s="43" t="str">
        <f t="shared" ca="1" si="4"/>
        <v>-</v>
      </c>
      <c r="BP25" s="43" t="str">
        <f t="shared" ca="1" si="4"/>
        <v>-</v>
      </c>
      <c r="BQ25" s="43" t="str">
        <f t="shared" ca="1" si="4"/>
        <v>-</v>
      </c>
      <c r="BR25" s="43" t="str">
        <f t="shared" ca="1" si="4"/>
        <v>-</v>
      </c>
      <c r="BS25" s="43" t="str">
        <f t="shared" ca="1" si="4"/>
        <v>-</v>
      </c>
      <c r="BT25" s="43" t="str">
        <f t="shared" ca="1" si="4"/>
        <v>-</v>
      </c>
      <c r="BU25" s="43" t="str">
        <f t="shared" ca="1" si="4"/>
        <v>-</v>
      </c>
      <c r="BV25" s="43" t="str">
        <f t="shared" ca="1" si="4"/>
        <v>-</v>
      </c>
      <c r="BW25" s="43" t="str">
        <f t="shared" ca="1" si="4"/>
        <v>-</v>
      </c>
      <c r="BX25" s="43" t="str">
        <f t="shared" ca="1" si="4"/>
        <v>-</v>
      </c>
      <c r="BY25" s="43" t="str">
        <f t="shared" ca="1" si="4"/>
        <v>-</v>
      </c>
      <c r="BZ25" s="43" t="str">
        <f t="shared" ref="BZ25:CJ25" ca="1" si="5">IF(INDIRECT("'parameters recipe'!G"&amp;BZ27)&lt;&gt;0,INDIRECT("'parameters recipe'!G"&amp;BZ27),"")</f>
        <v>-</v>
      </c>
      <c r="CA25" s="43" t="str">
        <f t="shared" ca="1" si="5"/>
        <v>-</v>
      </c>
      <c r="CB25" s="43" t="str">
        <f t="shared" ca="1" si="5"/>
        <v>-</v>
      </c>
      <c r="CC25" s="43" t="str">
        <f t="shared" ca="1" si="5"/>
        <v>-</v>
      </c>
      <c r="CD25" s="43" t="str">
        <f t="shared" ca="1" si="5"/>
        <v>-</v>
      </c>
      <c r="CE25" s="43" t="str">
        <f t="shared" ca="1" si="5"/>
        <v>-</v>
      </c>
      <c r="CF25" s="43" t="str">
        <f t="shared" ca="1" si="5"/>
        <v>-</v>
      </c>
      <c r="CG25" s="43" t="str">
        <f t="shared" ca="1" si="5"/>
        <v>-</v>
      </c>
      <c r="CH25" s="43" t="str">
        <f t="shared" ca="1" si="5"/>
        <v>-</v>
      </c>
      <c r="CI25" s="43" t="str">
        <f t="shared" ca="1" si="5"/>
        <v>-</v>
      </c>
      <c r="CJ25" s="43" t="str">
        <f t="shared" ca="1" si="5"/>
        <v>-</v>
      </c>
    </row>
    <row r="26" spans="1:88" s="26" customFormat="1" ht="35.25">
      <c r="A26" s="28" t="s">
        <v>6</v>
      </c>
      <c r="B26" s="27">
        <f ca="1">IF(INDIRECT("'parameters recipe'!F"&amp;B27)&lt;&gt;0,INDIRECT("'parameters recipe'!F"&amp;B27),"")</f>
        <v>255</v>
      </c>
      <c r="C26" s="27" t="str">
        <f t="shared" ref="C26:BN26" ca="1" si="6">IF(INDIRECT("'parameters recipe'!F"&amp;C27)&lt;&gt;0,INDIRECT("'parameters recipe'!F"&amp;C27),"")</f>
        <v/>
      </c>
      <c r="D26" s="27">
        <f t="shared" ca="1" si="6"/>
        <v>255</v>
      </c>
      <c r="E26" s="27" t="str">
        <f t="shared" ca="1" si="6"/>
        <v/>
      </c>
      <c r="F26" s="27">
        <f t="shared" ca="1" si="6"/>
        <v>255</v>
      </c>
      <c r="G26" s="27" t="str">
        <f t="shared" ca="1" si="6"/>
        <v/>
      </c>
      <c r="H26" s="27">
        <f t="shared" ca="1" si="6"/>
        <v>255</v>
      </c>
      <c r="I26" s="27" t="str">
        <f t="shared" ca="1" si="6"/>
        <v/>
      </c>
      <c r="J26" s="27">
        <f t="shared" ca="1" si="6"/>
        <v>255</v>
      </c>
      <c r="K26" s="27" t="str">
        <f t="shared" ca="1" si="6"/>
        <v/>
      </c>
      <c r="L26" s="27">
        <f t="shared" ca="1" si="6"/>
        <v>255</v>
      </c>
      <c r="M26" s="27" t="str">
        <f t="shared" ca="1" si="6"/>
        <v/>
      </c>
      <c r="N26" s="27">
        <f t="shared" ca="1" si="6"/>
        <v>255</v>
      </c>
      <c r="O26" s="27" t="str">
        <f t="shared" ca="1" si="6"/>
        <v/>
      </c>
      <c r="P26" s="27">
        <f t="shared" ca="1" si="6"/>
        <v>255</v>
      </c>
      <c r="Q26" s="27">
        <f t="shared" ca="1" si="6"/>
        <v>255</v>
      </c>
      <c r="R26" s="27">
        <f t="shared" ca="1" si="6"/>
        <v>65535</v>
      </c>
      <c r="S26" s="27">
        <f t="shared" ca="1" si="6"/>
        <v>65535</v>
      </c>
      <c r="T26" s="27">
        <f t="shared" ca="1" si="6"/>
        <v>255</v>
      </c>
      <c r="U26" s="27" t="str">
        <f t="shared" ca="1" si="6"/>
        <v/>
      </c>
      <c r="V26" s="27" t="str">
        <f t="shared" ca="1" si="6"/>
        <v/>
      </c>
      <c r="W26" s="27" t="str">
        <f t="shared" ca="1" si="6"/>
        <v/>
      </c>
      <c r="X26" s="27" t="str">
        <f t="shared" ca="1" si="6"/>
        <v/>
      </c>
      <c r="Y26" s="27" t="str">
        <f t="shared" ca="1" si="6"/>
        <v/>
      </c>
      <c r="Z26" s="27" t="str">
        <f t="shared" ca="1" si="6"/>
        <v/>
      </c>
      <c r="AA26" s="27" t="str">
        <f t="shared" ca="1" si="6"/>
        <v/>
      </c>
      <c r="AB26" s="27" t="str">
        <f t="shared" ca="1" si="6"/>
        <v/>
      </c>
      <c r="AC26" s="27" t="str">
        <f t="shared" ca="1" si="6"/>
        <v/>
      </c>
      <c r="AD26" s="27">
        <f t="shared" ca="1" si="6"/>
        <v>255</v>
      </c>
      <c r="AE26" s="27" t="str">
        <f t="shared" ca="1" si="6"/>
        <v/>
      </c>
      <c r="AF26" s="27" t="str">
        <f t="shared" ca="1" si="6"/>
        <v/>
      </c>
      <c r="AG26" s="27" t="str">
        <f t="shared" ca="1" si="6"/>
        <v/>
      </c>
      <c r="AH26" s="27" t="str">
        <f t="shared" ca="1" si="6"/>
        <v/>
      </c>
      <c r="AI26" s="27" t="str">
        <f t="shared" ca="1" si="6"/>
        <v/>
      </c>
      <c r="AJ26" s="27">
        <f t="shared" ca="1" si="6"/>
        <v>65535</v>
      </c>
      <c r="AK26" s="27">
        <f t="shared" ca="1" si="6"/>
        <v>2</v>
      </c>
      <c r="AL26" s="27" t="str">
        <f t="shared" ca="1" si="6"/>
        <v/>
      </c>
      <c r="AM26" s="27" t="str">
        <f t="shared" ca="1" si="6"/>
        <v/>
      </c>
      <c r="AN26" s="27" t="str">
        <f t="shared" ca="1" si="6"/>
        <v/>
      </c>
      <c r="AO26" s="27">
        <f t="shared" ca="1" si="6"/>
        <v>2</v>
      </c>
      <c r="AP26" s="27" t="str">
        <f t="shared" ca="1" si="6"/>
        <v/>
      </c>
      <c r="AQ26" s="27" t="str">
        <f t="shared" ca="1" si="6"/>
        <v/>
      </c>
      <c r="AR26" s="27" t="str">
        <f t="shared" ca="1" si="6"/>
        <v/>
      </c>
      <c r="AS26" s="27">
        <f t="shared" ca="1" si="6"/>
        <v>65535</v>
      </c>
      <c r="AT26" s="27" t="str">
        <f t="shared" ca="1" si="6"/>
        <v/>
      </c>
      <c r="AU26" s="27" t="str">
        <f t="shared" ca="1" si="6"/>
        <v/>
      </c>
      <c r="AV26" s="27" t="str">
        <f t="shared" ca="1" si="6"/>
        <v/>
      </c>
      <c r="AW26" s="27" t="str">
        <f t="shared" ca="1" si="6"/>
        <v/>
      </c>
      <c r="AX26" s="27" t="str">
        <f t="shared" ca="1" si="6"/>
        <v/>
      </c>
      <c r="AY26" s="27" t="str">
        <f t="shared" ca="1" si="6"/>
        <v/>
      </c>
      <c r="AZ26" s="27" t="str">
        <f t="shared" ca="1" si="6"/>
        <v/>
      </c>
      <c r="BA26" s="27" t="str">
        <f t="shared" ca="1" si="6"/>
        <v/>
      </c>
      <c r="BB26" s="27" t="str">
        <f t="shared" ca="1" si="6"/>
        <v/>
      </c>
      <c r="BC26" s="27" t="str">
        <f t="shared" ca="1" si="6"/>
        <v/>
      </c>
      <c r="BD26" s="27" t="str">
        <f t="shared" ca="1" si="6"/>
        <v/>
      </c>
      <c r="BE26" s="27" t="str">
        <f t="shared" ca="1" si="6"/>
        <v/>
      </c>
      <c r="BF26" s="27" t="str">
        <f t="shared" ca="1" si="6"/>
        <v/>
      </c>
      <c r="BG26" s="27" t="str">
        <f t="shared" ca="1" si="6"/>
        <v/>
      </c>
      <c r="BH26" s="27" t="str">
        <f t="shared" ca="1" si="6"/>
        <v/>
      </c>
      <c r="BI26" s="27">
        <f t="shared" ca="1" si="6"/>
        <v>65535</v>
      </c>
      <c r="BJ26" s="27" t="str">
        <f t="shared" ca="1" si="6"/>
        <v/>
      </c>
      <c r="BK26" s="27" t="str">
        <f t="shared" ca="1" si="6"/>
        <v/>
      </c>
      <c r="BL26" s="27" t="str">
        <f t="shared" ca="1" si="6"/>
        <v/>
      </c>
      <c r="BM26" s="27" t="str">
        <f t="shared" ca="1" si="6"/>
        <v/>
      </c>
      <c r="BN26" s="27" t="str">
        <f t="shared" ca="1" si="6"/>
        <v/>
      </c>
      <c r="BO26" s="27" t="str">
        <f t="shared" ref="BO26:CJ26" ca="1" si="7">IF(INDIRECT("'parameters recipe'!F"&amp;BO27)&lt;&gt;0,INDIRECT("'parameters recipe'!F"&amp;BO27),"")</f>
        <v/>
      </c>
      <c r="BP26" s="27" t="str">
        <f t="shared" ca="1" si="7"/>
        <v/>
      </c>
      <c r="BQ26" s="27" t="str">
        <f t="shared" ca="1" si="7"/>
        <v/>
      </c>
      <c r="BR26" s="27" t="str">
        <f t="shared" ca="1" si="7"/>
        <v/>
      </c>
      <c r="BS26" s="27" t="str">
        <f t="shared" ca="1" si="7"/>
        <v/>
      </c>
      <c r="BT26" s="27" t="str">
        <f t="shared" ca="1" si="7"/>
        <v/>
      </c>
      <c r="BU26" s="27" t="str">
        <f t="shared" ca="1" si="7"/>
        <v/>
      </c>
      <c r="BV26" s="27" t="str">
        <f t="shared" ca="1" si="7"/>
        <v/>
      </c>
      <c r="BW26" s="27" t="str">
        <f t="shared" ca="1" si="7"/>
        <v/>
      </c>
      <c r="BX26" s="27" t="str">
        <f t="shared" ca="1" si="7"/>
        <v/>
      </c>
      <c r="BY26" s="27">
        <f t="shared" ca="1" si="7"/>
        <v>65535</v>
      </c>
      <c r="BZ26" s="27" t="str">
        <f t="shared" ca="1" si="7"/>
        <v/>
      </c>
      <c r="CA26" s="27" t="str">
        <f t="shared" ca="1" si="7"/>
        <v/>
      </c>
      <c r="CB26" s="27" t="str">
        <f t="shared" ca="1" si="7"/>
        <v/>
      </c>
      <c r="CC26" s="27" t="str">
        <f t="shared" ca="1" si="7"/>
        <v/>
      </c>
      <c r="CD26" s="27" t="str">
        <f t="shared" ca="1" si="7"/>
        <v/>
      </c>
      <c r="CE26" s="27" t="str">
        <f t="shared" ca="1" si="7"/>
        <v/>
      </c>
      <c r="CF26" s="27" t="str">
        <f t="shared" ca="1" si="7"/>
        <v/>
      </c>
      <c r="CG26" s="27" t="str">
        <f t="shared" ca="1" si="7"/>
        <v/>
      </c>
      <c r="CH26" s="27" t="str">
        <f t="shared" ca="1" si="7"/>
        <v/>
      </c>
      <c r="CI26" s="27" t="str">
        <f t="shared" ca="1" si="7"/>
        <v/>
      </c>
      <c r="CJ26" s="27" t="str">
        <f t="shared" ca="1" si="7"/>
        <v/>
      </c>
    </row>
    <row r="27" spans="1:88" s="29" customFormat="1" hidden="1">
      <c r="A27" s="30" t="s">
        <v>50</v>
      </c>
      <c r="B27" s="31">
        <v>5</v>
      </c>
      <c r="C27" s="31">
        <f>B27+1</f>
        <v>6</v>
      </c>
      <c r="D27" s="31">
        <f t="shared" ref="D27:BO27" si="8">C27+1</f>
        <v>7</v>
      </c>
      <c r="E27" s="31">
        <f t="shared" si="8"/>
        <v>8</v>
      </c>
      <c r="F27" s="31">
        <f t="shared" si="8"/>
        <v>9</v>
      </c>
      <c r="G27" s="31">
        <f t="shared" si="8"/>
        <v>10</v>
      </c>
      <c r="H27" s="31">
        <f t="shared" si="8"/>
        <v>11</v>
      </c>
      <c r="I27" s="31">
        <f t="shared" si="8"/>
        <v>12</v>
      </c>
      <c r="J27" s="31">
        <f t="shared" si="8"/>
        <v>13</v>
      </c>
      <c r="K27" s="31">
        <f t="shared" si="8"/>
        <v>14</v>
      </c>
      <c r="L27" s="31">
        <f t="shared" si="8"/>
        <v>15</v>
      </c>
      <c r="M27" s="31">
        <f t="shared" si="8"/>
        <v>16</v>
      </c>
      <c r="N27" s="31">
        <f t="shared" si="8"/>
        <v>17</v>
      </c>
      <c r="O27" s="31">
        <f t="shared" si="8"/>
        <v>18</v>
      </c>
      <c r="P27" s="31">
        <f t="shared" si="8"/>
        <v>19</v>
      </c>
      <c r="Q27" s="31">
        <f t="shared" si="8"/>
        <v>20</v>
      </c>
      <c r="R27" s="31">
        <f t="shared" si="8"/>
        <v>21</v>
      </c>
      <c r="S27" s="31">
        <f t="shared" si="8"/>
        <v>22</v>
      </c>
      <c r="T27" s="31">
        <f t="shared" si="8"/>
        <v>23</v>
      </c>
      <c r="U27" s="31">
        <f t="shared" si="8"/>
        <v>24</v>
      </c>
      <c r="V27" s="31">
        <f t="shared" si="8"/>
        <v>25</v>
      </c>
      <c r="W27" s="31">
        <f t="shared" si="8"/>
        <v>26</v>
      </c>
      <c r="X27" s="31">
        <f t="shared" si="8"/>
        <v>27</v>
      </c>
      <c r="Y27" s="31">
        <f t="shared" si="8"/>
        <v>28</v>
      </c>
      <c r="Z27" s="31">
        <f t="shared" si="8"/>
        <v>29</v>
      </c>
      <c r="AA27" s="31">
        <f t="shared" si="8"/>
        <v>30</v>
      </c>
      <c r="AB27" s="31">
        <f t="shared" si="8"/>
        <v>31</v>
      </c>
      <c r="AC27" s="31">
        <f t="shared" si="8"/>
        <v>32</v>
      </c>
      <c r="AD27" s="31">
        <f t="shared" si="8"/>
        <v>33</v>
      </c>
      <c r="AE27" s="31">
        <f t="shared" si="8"/>
        <v>34</v>
      </c>
      <c r="AF27" s="31">
        <f t="shared" si="8"/>
        <v>35</v>
      </c>
      <c r="AG27" s="31">
        <f t="shared" si="8"/>
        <v>36</v>
      </c>
      <c r="AH27" s="31">
        <f t="shared" si="8"/>
        <v>37</v>
      </c>
      <c r="AI27" s="31">
        <f t="shared" si="8"/>
        <v>38</v>
      </c>
      <c r="AJ27" s="31">
        <f t="shared" si="8"/>
        <v>39</v>
      </c>
      <c r="AK27" s="31">
        <f t="shared" si="8"/>
        <v>40</v>
      </c>
      <c r="AL27" s="31">
        <f t="shared" si="8"/>
        <v>41</v>
      </c>
      <c r="AM27" s="31">
        <f t="shared" si="8"/>
        <v>42</v>
      </c>
      <c r="AN27" s="31">
        <f t="shared" si="8"/>
        <v>43</v>
      </c>
      <c r="AO27" s="31">
        <f t="shared" si="8"/>
        <v>44</v>
      </c>
      <c r="AP27" s="31">
        <f t="shared" si="8"/>
        <v>45</v>
      </c>
      <c r="AQ27" s="31">
        <f t="shared" si="8"/>
        <v>46</v>
      </c>
      <c r="AR27" s="31">
        <f t="shared" si="8"/>
        <v>47</v>
      </c>
      <c r="AS27" s="31">
        <f t="shared" si="8"/>
        <v>48</v>
      </c>
      <c r="AT27" s="31">
        <f t="shared" si="8"/>
        <v>49</v>
      </c>
      <c r="AU27" s="31">
        <f t="shared" si="8"/>
        <v>50</v>
      </c>
      <c r="AV27" s="31">
        <f t="shared" si="8"/>
        <v>51</v>
      </c>
      <c r="AW27" s="31">
        <f t="shared" si="8"/>
        <v>52</v>
      </c>
      <c r="AX27" s="31">
        <f t="shared" si="8"/>
        <v>53</v>
      </c>
      <c r="AY27" s="31">
        <f t="shared" si="8"/>
        <v>54</v>
      </c>
      <c r="AZ27" s="31">
        <f t="shared" si="8"/>
        <v>55</v>
      </c>
      <c r="BA27" s="31">
        <f t="shared" si="8"/>
        <v>56</v>
      </c>
      <c r="BB27" s="31">
        <f t="shared" si="8"/>
        <v>57</v>
      </c>
      <c r="BC27" s="31">
        <f t="shared" si="8"/>
        <v>58</v>
      </c>
      <c r="BD27" s="31">
        <f t="shared" si="8"/>
        <v>59</v>
      </c>
      <c r="BE27" s="31">
        <f t="shared" si="8"/>
        <v>60</v>
      </c>
      <c r="BF27" s="31">
        <f t="shared" si="8"/>
        <v>61</v>
      </c>
      <c r="BG27" s="31">
        <f t="shared" si="8"/>
        <v>62</v>
      </c>
      <c r="BH27" s="31">
        <f t="shared" si="8"/>
        <v>63</v>
      </c>
      <c r="BI27" s="31">
        <f t="shared" si="8"/>
        <v>64</v>
      </c>
      <c r="BJ27" s="31">
        <f t="shared" si="8"/>
        <v>65</v>
      </c>
      <c r="BK27" s="31">
        <f t="shared" si="8"/>
        <v>66</v>
      </c>
      <c r="BL27" s="31">
        <f t="shared" si="8"/>
        <v>67</v>
      </c>
      <c r="BM27" s="31">
        <f t="shared" si="8"/>
        <v>68</v>
      </c>
      <c r="BN27" s="31">
        <f t="shared" si="8"/>
        <v>69</v>
      </c>
      <c r="BO27" s="31">
        <f t="shared" si="8"/>
        <v>70</v>
      </c>
      <c r="BP27" s="31">
        <f t="shared" ref="BP27:CJ27" si="9">BO27+1</f>
        <v>71</v>
      </c>
      <c r="BQ27" s="31">
        <f t="shared" si="9"/>
        <v>72</v>
      </c>
      <c r="BR27" s="31">
        <f t="shared" si="9"/>
        <v>73</v>
      </c>
      <c r="BS27" s="31">
        <f t="shared" si="9"/>
        <v>74</v>
      </c>
      <c r="BT27" s="31">
        <f t="shared" si="9"/>
        <v>75</v>
      </c>
      <c r="BU27" s="31">
        <f t="shared" si="9"/>
        <v>76</v>
      </c>
      <c r="BV27" s="31">
        <f t="shared" si="9"/>
        <v>77</v>
      </c>
      <c r="BW27" s="31">
        <f t="shared" si="9"/>
        <v>78</v>
      </c>
      <c r="BX27" s="31">
        <f t="shared" si="9"/>
        <v>79</v>
      </c>
      <c r="BY27" s="31">
        <f t="shared" si="9"/>
        <v>80</v>
      </c>
      <c r="BZ27" s="31">
        <f t="shared" si="9"/>
        <v>81</v>
      </c>
      <c r="CA27" s="31">
        <f t="shared" si="9"/>
        <v>82</v>
      </c>
      <c r="CB27" s="31">
        <f t="shared" si="9"/>
        <v>83</v>
      </c>
      <c r="CC27" s="31">
        <f t="shared" si="9"/>
        <v>84</v>
      </c>
      <c r="CD27" s="31">
        <f t="shared" si="9"/>
        <v>85</v>
      </c>
      <c r="CE27" s="31">
        <f t="shared" si="9"/>
        <v>86</v>
      </c>
      <c r="CF27" s="31">
        <f t="shared" si="9"/>
        <v>87</v>
      </c>
      <c r="CG27" s="31">
        <f t="shared" si="9"/>
        <v>88</v>
      </c>
      <c r="CH27" s="31">
        <f t="shared" si="9"/>
        <v>89</v>
      </c>
      <c r="CI27" s="31">
        <f t="shared" si="9"/>
        <v>90</v>
      </c>
      <c r="CJ27" s="31">
        <f t="shared" si="9"/>
        <v>91</v>
      </c>
    </row>
    <row r="28" spans="1:88">
      <c r="A28" s="135" t="s">
        <v>21</v>
      </c>
      <c r="B28" s="32">
        <v>0</v>
      </c>
      <c r="C28" s="32">
        <v>0</v>
      </c>
      <c r="D28" s="32">
        <v>85</v>
      </c>
      <c r="E28" s="32">
        <v>0</v>
      </c>
      <c r="F28" s="32">
        <v>0</v>
      </c>
      <c r="G28" s="32">
        <v>0</v>
      </c>
      <c r="H28" s="32">
        <v>0</v>
      </c>
      <c r="I28" s="32">
        <v>0</v>
      </c>
      <c r="J28" s="32">
        <v>0</v>
      </c>
      <c r="K28" s="32">
        <v>0</v>
      </c>
      <c r="L28" s="32">
        <v>0</v>
      </c>
      <c r="M28" s="32">
        <v>0</v>
      </c>
      <c r="N28" s="32">
        <v>0</v>
      </c>
      <c r="O28" s="32">
        <v>0</v>
      </c>
      <c r="P28" s="32">
        <v>0</v>
      </c>
      <c r="Q28" s="32">
        <v>0</v>
      </c>
      <c r="R28" s="32">
        <v>0</v>
      </c>
      <c r="S28" s="32">
        <v>0</v>
      </c>
      <c r="T28" s="32">
        <v>0</v>
      </c>
      <c r="U28" s="32">
        <v>1</v>
      </c>
      <c r="V28" s="32">
        <v>0</v>
      </c>
      <c r="W28" s="32">
        <v>0</v>
      </c>
      <c r="X28" s="32">
        <v>0</v>
      </c>
      <c r="Y28" s="32">
        <v>0</v>
      </c>
      <c r="Z28" s="32">
        <v>0</v>
      </c>
      <c r="AA28" s="32">
        <v>0</v>
      </c>
      <c r="AB28" s="32">
        <v>0</v>
      </c>
      <c r="AC28" s="32">
        <v>0</v>
      </c>
      <c r="AD28" s="32">
        <v>0</v>
      </c>
      <c r="AE28" s="32">
        <v>1</v>
      </c>
      <c r="AF28" s="32">
        <v>0</v>
      </c>
      <c r="AG28" s="32">
        <v>0</v>
      </c>
      <c r="AH28" s="32">
        <v>0</v>
      </c>
      <c r="AI28" s="32">
        <v>0</v>
      </c>
      <c r="AJ28" s="32">
        <v>0</v>
      </c>
      <c r="AK28" s="32">
        <v>0</v>
      </c>
      <c r="AL28" s="32">
        <v>0</v>
      </c>
      <c r="AM28" s="32">
        <v>0</v>
      </c>
      <c r="AN28" s="32">
        <v>0</v>
      </c>
      <c r="AO28" s="32">
        <v>0</v>
      </c>
      <c r="AP28" s="32">
        <v>0</v>
      </c>
      <c r="AQ28" s="32">
        <v>0</v>
      </c>
      <c r="AR28" s="32">
        <v>0</v>
      </c>
      <c r="AS28" s="32">
        <v>0</v>
      </c>
      <c r="AT28" s="32">
        <v>0</v>
      </c>
      <c r="AU28" s="32">
        <v>0</v>
      </c>
      <c r="AV28" s="32">
        <v>0</v>
      </c>
      <c r="AW28" s="32">
        <v>0</v>
      </c>
      <c r="AX28" s="32">
        <v>0</v>
      </c>
      <c r="AY28" s="32">
        <v>0</v>
      </c>
      <c r="AZ28" s="32">
        <v>0</v>
      </c>
      <c r="BA28" s="32">
        <v>0</v>
      </c>
      <c r="BB28" s="32">
        <v>0</v>
      </c>
      <c r="BC28" s="32">
        <v>0</v>
      </c>
      <c r="BD28" s="32">
        <v>0</v>
      </c>
      <c r="BE28" s="32">
        <v>0</v>
      </c>
      <c r="BF28" s="32">
        <v>0</v>
      </c>
      <c r="BG28" s="32">
        <v>0</v>
      </c>
      <c r="BH28" s="32">
        <v>0</v>
      </c>
      <c r="BI28" s="32">
        <v>0</v>
      </c>
      <c r="BJ28" s="32">
        <v>0</v>
      </c>
      <c r="BK28" s="32">
        <v>0</v>
      </c>
      <c r="BL28" s="32">
        <v>0</v>
      </c>
      <c r="BM28" s="32">
        <v>0</v>
      </c>
      <c r="BN28" s="32">
        <v>0</v>
      </c>
      <c r="BO28" s="32">
        <v>0</v>
      </c>
      <c r="BP28" s="32">
        <v>0</v>
      </c>
      <c r="BQ28" s="32">
        <v>0</v>
      </c>
      <c r="BR28" s="32">
        <v>0</v>
      </c>
      <c r="BS28" s="32">
        <v>0</v>
      </c>
      <c r="BT28" s="32">
        <v>0</v>
      </c>
      <c r="BU28" s="32">
        <v>0</v>
      </c>
      <c r="BV28" s="32">
        <v>0</v>
      </c>
      <c r="BW28" s="32">
        <v>0</v>
      </c>
      <c r="BX28" s="32">
        <v>0</v>
      </c>
      <c r="BY28" s="32">
        <v>0</v>
      </c>
      <c r="BZ28" s="32">
        <v>0</v>
      </c>
      <c r="CA28" s="32">
        <v>0</v>
      </c>
      <c r="CB28" s="32">
        <v>0</v>
      </c>
      <c r="CC28" s="32">
        <v>0</v>
      </c>
      <c r="CD28" s="32">
        <v>0</v>
      </c>
      <c r="CE28" s="32">
        <v>0</v>
      </c>
      <c r="CF28" s="32">
        <v>0</v>
      </c>
      <c r="CG28" s="32">
        <v>0</v>
      </c>
      <c r="CH28" s="32">
        <v>0</v>
      </c>
      <c r="CI28" s="32">
        <v>0</v>
      </c>
      <c r="CJ28" s="32">
        <v>0</v>
      </c>
    </row>
    <row r="29" spans="1:88" hidden="1">
      <c r="A29" s="136"/>
      <c r="B29" s="39" t="str">
        <f ca="1">DEC2HEX(B28,INDIRECT("'parameters recipe'!$C"&amp;B$27))</f>
        <v>0</v>
      </c>
      <c r="C29" s="39" t="e">
        <f t="shared" ref="C29:L29" ca="1" si="10">DEC2HEX(C28,INDIRECT("'parameters recipe'!$C"&amp;C$27))</f>
        <v>#NUM!</v>
      </c>
      <c r="D29" s="39" t="e">
        <f t="shared" ca="1" si="10"/>
        <v>#NUM!</v>
      </c>
      <c r="E29" s="39" t="e">
        <f t="shared" ca="1" si="10"/>
        <v>#NUM!</v>
      </c>
      <c r="F29" s="39" t="str">
        <f t="shared" ca="1" si="10"/>
        <v>0</v>
      </c>
      <c r="G29" s="39" t="e">
        <f t="shared" ca="1" si="10"/>
        <v>#NUM!</v>
      </c>
      <c r="H29" s="39" t="str">
        <f t="shared" ca="1" si="10"/>
        <v>0</v>
      </c>
      <c r="I29" s="39" t="e">
        <f t="shared" ca="1" si="10"/>
        <v>#NUM!</v>
      </c>
      <c r="J29" s="39" t="str">
        <f t="shared" ca="1" si="10"/>
        <v>0</v>
      </c>
      <c r="K29" s="39" t="e">
        <f t="shared" ca="1" si="10"/>
        <v>#NUM!</v>
      </c>
      <c r="L29" s="39" t="str">
        <f t="shared" ca="1" si="10"/>
        <v>0</v>
      </c>
      <c r="M29" s="123" t="str">
        <f>BIN2HEX(CONCATENATE(M28,N28,O28,P28,Q28,R28,S28,T28),2)</f>
        <v>00</v>
      </c>
      <c r="N29" s="124"/>
      <c r="O29" s="124"/>
      <c r="P29" s="124"/>
      <c r="Q29" s="124"/>
      <c r="R29" s="124"/>
      <c r="S29" s="124"/>
      <c r="T29" s="125"/>
      <c r="U29" s="39" t="e">
        <f t="shared" ref="U29:X29" ca="1" si="11">DEC2HEX(U28,INDIRECT("'parameters recipe'!$C"&amp;U$27))</f>
        <v>#NUM!</v>
      </c>
      <c r="V29" s="39" t="e">
        <f t="shared" ca="1" si="11"/>
        <v>#NUM!</v>
      </c>
      <c r="W29" s="39" t="e">
        <f t="shared" ca="1" si="11"/>
        <v>#NUM!</v>
      </c>
      <c r="X29" s="39" t="e">
        <f t="shared" ca="1" si="11"/>
        <v>#NUM!</v>
      </c>
      <c r="Y29" s="123" t="str">
        <f>BIN2HEX(CONCATENATE(Y28,Z28,AA28,AB28,AC28,AD28,AE28,AF28),2)</f>
        <v>02</v>
      </c>
      <c r="Z29" s="124"/>
      <c r="AA29" s="124"/>
      <c r="AB29" s="124"/>
      <c r="AC29" s="124"/>
      <c r="AD29" s="124"/>
      <c r="AE29" s="124"/>
      <c r="AF29" s="125"/>
      <c r="AG29" s="123" t="str">
        <f>BIN2HEX(CONCATENATE(AG28,AH28,AI28,AJ28,AK28,AL28,AM28,AN28),2)</f>
        <v>00</v>
      </c>
      <c r="AH29" s="124"/>
      <c r="AI29" s="124"/>
      <c r="AJ29" s="124"/>
      <c r="AK29" s="124"/>
      <c r="AL29" s="124"/>
      <c r="AM29" s="124"/>
      <c r="AN29" s="125"/>
      <c r="AO29" s="123" t="str">
        <f>BIN2HEX(CONCATENATE(AO28,AP28,AQ28,AR28,AS28,AT28,AU28,AV28),2)</f>
        <v>00</v>
      </c>
      <c r="AP29" s="124"/>
      <c r="AQ29" s="124"/>
      <c r="AR29" s="124"/>
      <c r="AS29" s="124"/>
      <c r="AT29" s="124"/>
      <c r="AU29" s="124"/>
      <c r="AV29" s="125"/>
      <c r="AW29" s="123" t="str">
        <f>BIN2HEX(CONCATENATE(AW28,AX28,AY28,AZ28,BA28,BB28,BC28,BD28),2)</f>
        <v>00</v>
      </c>
      <c r="AX29" s="124"/>
      <c r="AY29" s="124"/>
      <c r="AZ29" s="124"/>
      <c r="BA29" s="124"/>
      <c r="BB29" s="124"/>
      <c r="BC29" s="124"/>
      <c r="BD29" s="125"/>
      <c r="BE29" s="123" t="str">
        <f>BIN2HEX(CONCATENATE(BE28,BF28,BG28,BH28,BI28,BJ28,BK28,BL28),2)</f>
        <v>00</v>
      </c>
      <c r="BF29" s="124"/>
      <c r="BG29" s="124"/>
      <c r="BH29" s="124"/>
      <c r="BI29" s="124"/>
      <c r="BJ29" s="124"/>
      <c r="BK29" s="124"/>
      <c r="BL29" s="125"/>
      <c r="BM29" s="123" t="str">
        <f>BIN2HEX(CONCATENATE(BM28,BN28,BO28,BP28,BQ28,BR28,BS28,BT28),2)</f>
        <v>00</v>
      </c>
      <c r="BN29" s="124"/>
      <c r="BO29" s="124"/>
      <c r="BP29" s="124"/>
      <c r="BQ29" s="124"/>
      <c r="BR29" s="124"/>
      <c r="BS29" s="124"/>
      <c r="BT29" s="125"/>
      <c r="BU29" s="123" t="str">
        <f>BIN2HEX(CONCATENATE(BU28,BV28,BW28,BX28,BY28,BZ28,CA28,CB28),2)</f>
        <v>00</v>
      </c>
      <c r="BV29" s="124"/>
      <c r="BW29" s="124"/>
      <c r="BX29" s="124"/>
      <c r="BY29" s="124"/>
      <c r="BZ29" s="124"/>
      <c r="CA29" s="124"/>
      <c r="CB29" s="125"/>
      <c r="CC29" s="123" t="str">
        <f>BIN2HEX(CONCATENATE(CC28,CD28,CE28,CF28,CG28,CH28,CI28,CJ28),2)</f>
        <v>00</v>
      </c>
      <c r="CD29" s="124"/>
      <c r="CE29" s="124"/>
      <c r="CF29" s="124"/>
      <c r="CG29" s="124"/>
      <c r="CH29" s="124"/>
      <c r="CI29" s="124"/>
      <c r="CJ29" s="125"/>
    </row>
    <row r="30" spans="1:88">
      <c r="A30" s="135" t="s">
        <v>11</v>
      </c>
      <c r="B30" s="32">
        <v>95</v>
      </c>
      <c r="C30" s="32">
        <v>0</v>
      </c>
      <c r="D30" s="32">
        <v>85</v>
      </c>
      <c r="E30" s="32">
        <v>0</v>
      </c>
      <c r="F30" s="32">
        <v>50</v>
      </c>
      <c r="G30" s="32">
        <v>0</v>
      </c>
      <c r="H30" s="32">
        <v>0</v>
      </c>
      <c r="I30" s="32">
        <v>0</v>
      </c>
      <c r="J30" s="32">
        <v>0</v>
      </c>
      <c r="K30" s="32">
        <v>5</v>
      </c>
      <c r="L30" s="32">
        <v>0</v>
      </c>
      <c r="M30" s="32">
        <v>1</v>
      </c>
      <c r="N30" s="32">
        <v>1</v>
      </c>
      <c r="O30" s="32">
        <v>0</v>
      </c>
      <c r="P30" s="32">
        <v>1</v>
      </c>
      <c r="Q30" s="32">
        <v>0</v>
      </c>
      <c r="R30" s="32">
        <v>0</v>
      </c>
      <c r="S30" s="32">
        <v>0</v>
      </c>
      <c r="T30" s="32">
        <v>0</v>
      </c>
      <c r="U30" s="32">
        <v>1</v>
      </c>
      <c r="V30" s="32">
        <v>0</v>
      </c>
      <c r="W30" s="32">
        <v>1</v>
      </c>
      <c r="X30" s="32">
        <v>0</v>
      </c>
      <c r="Y30" s="32">
        <v>0</v>
      </c>
      <c r="Z30" s="32">
        <v>0</v>
      </c>
      <c r="AA30" s="32">
        <v>0</v>
      </c>
      <c r="AB30" s="32">
        <v>0</v>
      </c>
      <c r="AC30" s="32">
        <v>0</v>
      </c>
      <c r="AD30" s="32">
        <v>0</v>
      </c>
      <c r="AE30" s="32">
        <v>0</v>
      </c>
      <c r="AF30" s="32">
        <v>1</v>
      </c>
      <c r="AG30" s="32">
        <v>0</v>
      </c>
      <c r="AH30" s="32">
        <v>0</v>
      </c>
      <c r="AI30" s="32">
        <v>0</v>
      </c>
      <c r="AJ30" s="32">
        <v>0</v>
      </c>
      <c r="AK30" s="32">
        <v>0</v>
      </c>
      <c r="AL30" s="32">
        <v>0</v>
      </c>
      <c r="AM30" s="32">
        <v>0</v>
      </c>
      <c r="AN30" s="32">
        <v>0</v>
      </c>
      <c r="AO30" s="32">
        <v>0</v>
      </c>
      <c r="AP30" s="32">
        <v>0</v>
      </c>
      <c r="AQ30" s="32">
        <v>0</v>
      </c>
      <c r="AR30" s="32">
        <v>0</v>
      </c>
      <c r="AS30" s="32">
        <v>0</v>
      </c>
      <c r="AT30" s="32">
        <v>0</v>
      </c>
      <c r="AU30" s="32">
        <v>0</v>
      </c>
      <c r="AV30" s="32">
        <v>0</v>
      </c>
      <c r="AW30" s="32">
        <v>0</v>
      </c>
      <c r="AX30" s="32">
        <v>0</v>
      </c>
      <c r="AY30" s="32">
        <v>0</v>
      </c>
      <c r="AZ30" s="32">
        <v>0</v>
      </c>
      <c r="BA30" s="32">
        <v>0</v>
      </c>
      <c r="BB30" s="32">
        <v>0</v>
      </c>
      <c r="BC30" s="32">
        <v>0</v>
      </c>
      <c r="BD30" s="32">
        <v>0</v>
      </c>
      <c r="BE30" s="32">
        <v>0</v>
      </c>
      <c r="BF30" s="32">
        <v>0</v>
      </c>
      <c r="BG30" s="32">
        <v>0</v>
      </c>
      <c r="BH30" s="32">
        <v>0</v>
      </c>
      <c r="BI30" s="32">
        <v>0</v>
      </c>
      <c r="BJ30" s="32">
        <v>0</v>
      </c>
      <c r="BK30" s="32">
        <v>0</v>
      </c>
      <c r="BL30" s="32">
        <v>0</v>
      </c>
      <c r="BM30" s="32">
        <v>0</v>
      </c>
      <c r="BN30" s="32">
        <v>0</v>
      </c>
      <c r="BO30" s="32">
        <v>0</v>
      </c>
      <c r="BP30" s="32">
        <v>0</v>
      </c>
      <c r="BQ30" s="32">
        <v>0</v>
      </c>
      <c r="BR30" s="32">
        <v>0</v>
      </c>
      <c r="BS30" s="32">
        <v>0</v>
      </c>
      <c r="BT30" s="32">
        <v>0</v>
      </c>
      <c r="BU30" s="32">
        <v>0</v>
      </c>
      <c r="BV30" s="32">
        <v>0</v>
      </c>
      <c r="BW30" s="32">
        <v>0</v>
      </c>
      <c r="BX30" s="32">
        <v>0</v>
      </c>
      <c r="BY30" s="32">
        <v>0</v>
      </c>
      <c r="BZ30" s="32">
        <v>0</v>
      </c>
      <c r="CA30" s="32">
        <v>0</v>
      </c>
      <c r="CB30" s="32">
        <v>0</v>
      </c>
      <c r="CC30" s="32">
        <v>0</v>
      </c>
      <c r="CD30" s="32">
        <v>0</v>
      </c>
      <c r="CE30" s="32">
        <v>0</v>
      </c>
      <c r="CF30" s="32">
        <v>0</v>
      </c>
      <c r="CG30" s="32">
        <v>0</v>
      </c>
      <c r="CH30" s="32">
        <v>0</v>
      </c>
      <c r="CI30" s="32">
        <v>0</v>
      </c>
      <c r="CJ30" s="32">
        <v>0</v>
      </c>
    </row>
    <row r="31" spans="1:88" hidden="1">
      <c r="A31" s="136"/>
      <c r="B31" s="39" t="e">
        <f ca="1">DEC2HEX(B30,INDIRECT("'parameters recipe'!$C"&amp;B$27))</f>
        <v>#NUM!</v>
      </c>
      <c r="C31" s="39" t="e">
        <f t="shared" ref="C31:L31" ca="1" si="12">DEC2HEX(C30,INDIRECT("'parameters recipe'!$C"&amp;C$27))</f>
        <v>#NUM!</v>
      </c>
      <c r="D31" s="39" t="e">
        <f t="shared" ca="1" si="12"/>
        <v>#NUM!</v>
      </c>
      <c r="E31" s="39" t="e">
        <f t="shared" ca="1" si="12"/>
        <v>#NUM!</v>
      </c>
      <c r="F31" s="39" t="e">
        <f t="shared" ca="1" si="12"/>
        <v>#NUM!</v>
      </c>
      <c r="G31" s="39" t="e">
        <f t="shared" ca="1" si="12"/>
        <v>#NUM!</v>
      </c>
      <c r="H31" s="39" t="str">
        <f t="shared" ca="1" si="12"/>
        <v>0</v>
      </c>
      <c r="I31" s="39" t="e">
        <f t="shared" ca="1" si="12"/>
        <v>#NUM!</v>
      </c>
      <c r="J31" s="39" t="str">
        <f t="shared" ca="1" si="12"/>
        <v>0</v>
      </c>
      <c r="K31" s="39" t="e">
        <f t="shared" ca="1" si="12"/>
        <v>#NUM!</v>
      </c>
      <c r="L31" s="39" t="str">
        <f t="shared" ca="1" si="12"/>
        <v>0</v>
      </c>
      <c r="M31" s="123" t="str">
        <f>BIN2HEX(CONCATENATE(M30,N30,O30,P30,Q30,R30,S30,T30),2)</f>
        <v>D0</v>
      </c>
      <c r="N31" s="124"/>
      <c r="O31" s="124"/>
      <c r="P31" s="124"/>
      <c r="Q31" s="124"/>
      <c r="R31" s="124"/>
      <c r="S31" s="124"/>
      <c r="T31" s="125"/>
      <c r="U31" s="39" t="e">
        <f t="shared" ref="U31:X31" ca="1" si="13">DEC2HEX(U30,INDIRECT("'parameters recipe'!$C"&amp;U$27))</f>
        <v>#NUM!</v>
      </c>
      <c r="V31" s="39" t="e">
        <f t="shared" ca="1" si="13"/>
        <v>#NUM!</v>
      </c>
      <c r="W31" s="39" t="e">
        <f t="shared" ca="1" si="13"/>
        <v>#NUM!</v>
      </c>
      <c r="X31" s="39" t="e">
        <f t="shared" ca="1" si="13"/>
        <v>#NUM!</v>
      </c>
      <c r="Y31" s="123" t="str">
        <f>BIN2HEX(CONCATENATE(Y30,Z30,AA30,AB30,AC30,AD30,AE30,AF30),2)</f>
        <v>01</v>
      </c>
      <c r="Z31" s="124"/>
      <c r="AA31" s="124"/>
      <c r="AB31" s="124"/>
      <c r="AC31" s="124"/>
      <c r="AD31" s="124"/>
      <c r="AE31" s="124"/>
      <c r="AF31" s="125"/>
      <c r="AG31" s="123" t="str">
        <f>BIN2HEX(CONCATENATE(AG30,AH30,AI30,AJ30,AK30,AL30,AM30,AN30),2)</f>
        <v>00</v>
      </c>
      <c r="AH31" s="124"/>
      <c r="AI31" s="124"/>
      <c r="AJ31" s="124"/>
      <c r="AK31" s="124"/>
      <c r="AL31" s="124"/>
      <c r="AM31" s="124"/>
      <c r="AN31" s="125"/>
      <c r="AO31" s="123" t="str">
        <f>BIN2HEX(CONCATENATE(AO30,AP30,AQ30,AR30,AS30,AT30,AU30,AV30),2)</f>
        <v>00</v>
      </c>
      <c r="AP31" s="124"/>
      <c r="AQ31" s="124"/>
      <c r="AR31" s="124"/>
      <c r="AS31" s="124"/>
      <c r="AT31" s="124"/>
      <c r="AU31" s="124"/>
      <c r="AV31" s="125"/>
      <c r="AW31" s="123" t="str">
        <f>BIN2HEX(CONCATENATE(AW30,AX30,AY30,AZ30,BA30,BB30,BC30,BD30),2)</f>
        <v>00</v>
      </c>
      <c r="AX31" s="124"/>
      <c r="AY31" s="124"/>
      <c r="AZ31" s="124"/>
      <c r="BA31" s="124"/>
      <c r="BB31" s="124"/>
      <c r="BC31" s="124"/>
      <c r="BD31" s="125"/>
      <c r="BE31" s="123" t="str">
        <f>BIN2HEX(CONCATENATE(BE30,BF30,BG30,BH30,BI30,BJ30,BK30,BL30),2)</f>
        <v>00</v>
      </c>
      <c r="BF31" s="124"/>
      <c r="BG31" s="124"/>
      <c r="BH31" s="124"/>
      <c r="BI31" s="124"/>
      <c r="BJ31" s="124"/>
      <c r="BK31" s="124"/>
      <c r="BL31" s="125"/>
      <c r="BM31" s="123" t="str">
        <f>BIN2HEX(CONCATENATE(BM30,BN30,BO30,BP30,BQ30,BR30,BS30,BT30),2)</f>
        <v>00</v>
      </c>
      <c r="BN31" s="124"/>
      <c r="BO31" s="124"/>
      <c r="BP31" s="124"/>
      <c r="BQ31" s="124"/>
      <c r="BR31" s="124"/>
      <c r="BS31" s="124"/>
      <c r="BT31" s="125"/>
      <c r="BU31" s="123" t="str">
        <f>BIN2HEX(CONCATENATE(BU30,BV30,BW30,BX30,BY30,BZ30,CA30,CB30),2)</f>
        <v>00</v>
      </c>
      <c r="BV31" s="124"/>
      <c r="BW31" s="124"/>
      <c r="BX31" s="124"/>
      <c r="BY31" s="124"/>
      <c r="BZ31" s="124"/>
      <c r="CA31" s="124"/>
      <c r="CB31" s="125"/>
      <c r="CC31" s="123" t="str">
        <f>BIN2HEX(CONCATENATE(CC30,CD30,CE30,CF30,CG30,CH30,CI30,CJ30),2)</f>
        <v>00</v>
      </c>
      <c r="CD31" s="124"/>
      <c r="CE31" s="124"/>
      <c r="CF31" s="124"/>
      <c r="CG31" s="124"/>
      <c r="CH31" s="124"/>
      <c r="CI31" s="124"/>
      <c r="CJ31" s="125"/>
    </row>
    <row r="32" spans="1:88">
      <c r="A32" s="135" t="s">
        <v>12</v>
      </c>
      <c r="B32" s="32">
        <v>95</v>
      </c>
      <c r="C32" s="32">
        <v>0</v>
      </c>
      <c r="D32" s="32">
        <v>85</v>
      </c>
      <c r="E32" s="32">
        <v>0</v>
      </c>
      <c r="F32" s="32">
        <v>20</v>
      </c>
      <c r="G32" s="32">
        <v>0</v>
      </c>
      <c r="H32" s="32">
        <v>0</v>
      </c>
      <c r="I32" s="32">
        <v>0</v>
      </c>
      <c r="J32" s="32">
        <v>0</v>
      </c>
      <c r="K32" s="32">
        <v>0</v>
      </c>
      <c r="L32" s="32">
        <v>0</v>
      </c>
      <c r="M32" s="32">
        <v>1</v>
      </c>
      <c r="N32" s="32">
        <v>1</v>
      </c>
      <c r="O32" s="32">
        <v>0</v>
      </c>
      <c r="P32" s="32">
        <v>1</v>
      </c>
      <c r="Q32" s="32">
        <v>0</v>
      </c>
      <c r="R32" s="32">
        <v>0</v>
      </c>
      <c r="S32" s="32">
        <v>0</v>
      </c>
      <c r="T32" s="32">
        <v>0</v>
      </c>
      <c r="U32" s="32">
        <v>1</v>
      </c>
      <c r="V32" s="32">
        <v>0</v>
      </c>
      <c r="W32" s="32">
        <v>0</v>
      </c>
      <c r="X32" s="32">
        <v>0</v>
      </c>
      <c r="Y32" s="32">
        <v>0</v>
      </c>
      <c r="Z32" s="32">
        <v>0</v>
      </c>
      <c r="AA32" s="32">
        <v>0</v>
      </c>
      <c r="AB32" s="32">
        <v>0</v>
      </c>
      <c r="AC32" s="32">
        <v>0</v>
      </c>
      <c r="AD32" s="32">
        <v>0</v>
      </c>
      <c r="AE32" s="32">
        <v>0</v>
      </c>
      <c r="AF32" s="32">
        <v>0</v>
      </c>
      <c r="AG32" s="32">
        <v>0</v>
      </c>
      <c r="AH32" s="32">
        <v>0</v>
      </c>
      <c r="AI32" s="32">
        <v>1</v>
      </c>
      <c r="AJ32" s="32">
        <v>0</v>
      </c>
      <c r="AK32" s="32">
        <v>0</v>
      </c>
      <c r="AL32" s="32">
        <v>0</v>
      </c>
      <c r="AM32" s="32">
        <v>0</v>
      </c>
      <c r="AN32" s="32">
        <v>0</v>
      </c>
      <c r="AO32" s="32">
        <v>0</v>
      </c>
      <c r="AP32" s="32">
        <v>0</v>
      </c>
      <c r="AQ32" s="32">
        <v>0</v>
      </c>
      <c r="AR32" s="32">
        <v>0</v>
      </c>
      <c r="AS32" s="32">
        <v>0</v>
      </c>
      <c r="AT32" s="32">
        <v>0</v>
      </c>
      <c r="AU32" s="32">
        <v>0</v>
      </c>
      <c r="AV32" s="32">
        <v>0</v>
      </c>
      <c r="AW32" s="32">
        <v>0</v>
      </c>
      <c r="AX32" s="32">
        <v>0</v>
      </c>
      <c r="AY32" s="32">
        <v>0</v>
      </c>
      <c r="AZ32" s="32">
        <v>0</v>
      </c>
      <c r="BA32" s="32">
        <v>0</v>
      </c>
      <c r="BB32" s="32">
        <v>0</v>
      </c>
      <c r="BC32" s="32">
        <v>0</v>
      </c>
      <c r="BD32" s="32">
        <v>0</v>
      </c>
      <c r="BE32" s="32">
        <v>0</v>
      </c>
      <c r="BF32" s="32">
        <v>0</v>
      </c>
      <c r="BG32" s="32">
        <v>0</v>
      </c>
      <c r="BH32" s="32">
        <v>0</v>
      </c>
      <c r="BI32" s="32">
        <v>0</v>
      </c>
      <c r="BJ32" s="32">
        <v>0</v>
      </c>
      <c r="BK32" s="32">
        <v>0</v>
      </c>
      <c r="BL32" s="32">
        <v>0</v>
      </c>
      <c r="BM32" s="32">
        <v>0</v>
      </c>
      <c r="BN32" s="32">
        <v>0</v>
      </c>
      <c r="BO32" s="32">
        <v>0</v>
      </c>
      <c r="BP32" s="32">
        <v>0</v>
      </c>
      <c r="BQ32" s="32">
        <v>0</v>
      </c>
      <c r="BR32" s="32">
        <v>0</v>
      </c>
      <c r="BS32" s="32">
        <v>0</v>
      </c>
      <c r="BT32" s="32">
        <v>0</v>
      </c>
      <c r="BU32" s="32">
        <v>0</v>
      </c>
      <c r="BV32" s="32">
        <v>0</v>
      </c>
      <c r="BW32" s="32">
        <v>0</v>
      </c>
      <c r="BX32" s="32">
        <v>0</v>
      </c>
      <c r="BY32" s="32">
        <v>0</v>
      </c>
      <c r="BZ32" s="32">
        <v>0</v>
      </c>
      <c r="CA32" s="32">
        <v>0</v>
      </c>
      <c r="CB32" s="32">
        <v>0</v>
      </c>
      <c r="CC32" s="32">
        <v>0</v>
      </c>
      <c r="CD32" s="32">
        <v>0</v>
      </c>
      <c r="CE32" s="32">
        <v>0</v>
      </c>
      <c r="CF32" s="32">
        <v>0</v>
      </c>
      <c r="CG32" s="32">
        <v>0</v>
      </c>
      <c r="CH32" s="32">
        <v>0</v>
      </c>
      <c r="CI32" s="32">
        <v>0</v>
      </c>
      <c r="CJ32" s="32">
        <v>0</v>
      </c>
    </row>
    <row r="33" spans="1:88" hidden="1">
      <c r="A33" s="136"/>
      <c r="B33" s="39" t="e">
        <f ca="1">DEC2HEX(B32,INDIRECT("'parameters recipe'!$C"&amp;B$27))</f>
        <v>#NUM!</v>
      </c>
      <c r="C33" s="39" t="e">
        <f t="shared" ref="C33:L33" ca="1" si="14">DEC2HEX(C32,INDIRECT("'parameters recipe'!$C"&amp;C$27))</f>
        <v>#NUM!</v>
      </c>
      <c r="D33" s="39" t="e">
        <f t="shared" ca="1" si="14"/>
        <v>#NUM!</v>
      </c>
      <c r="E33" s="39" t="e">
        <f t="shared" ca="1" si="14"/>
        <v>#NUM!</v>
      </c>
      <c r="F33" s="39" t="e">
        <f t="shared" ca="1" si="14"/>
        <v>#NUM!</v>
      </c>
      <c r="G33" s="39" t="e">
        <f t="shared" ca="1" si="14"/>
        <v>#NUM!</v>
      </c>
      <c r="H33" s="39" t="str">
        <f t="shared" ca="1" si="14"/>
        <v>0</v>
      </c>
      <c r="I33" s="39" t="e">
        <f t="shared" ca="1" si="14"/>
        <v>#NUM!</v>
      </c>
      <c r="J33" s="39" t="str">
        <f t="shared" ca="1" si="14"/>
        <v>0</v>
      </c>
      <c r="K33" s="39" t="e">
        <f t="shared" ca="1" si="14"/>
        <v>#NUM!</v>
      </c>
      <c r="L33" s="39" t="str">
        <f t="shared" ca="1" si="14"/>
        <v>0</v>
      </c>
      <c r="M33" s="123" t="str">
        <f>BIN2HEX(CONCATENATE(M32,N32,O32,P32,Q32,R32,S32,T32),2)</f>
        <v>D0</v>
      </c>
      <c r="N33" s="124"/>
      <c r="O33" s="124"/>
      <c r="P33" s="124"/>
      <c r="Q33" s="124"/>
      <c r="R33" s="124"/>
      <c r="S33" s="124"/>
      <c r="T33" s="125"/>
      <c r="U33" s="39" t="e">
        <f t="shared" ref="U33:X33" ca="1" si="15">DEC2HEX(U32,INDIRECT("'parameters recipe'!$C"&amp;U$27))</f>
        <v>#NUM!</v>
      </c>
      <c r="V33" s="39" t="e">
        <f t="shared" ca="1" si="15"/>
        <v>#NUM!</v>
      </c>
      <c r="W33" s="39" t="e">
        <f t="shared" ca="1" si="15"/>
        <v>#NUM!</v>
      </c>
      <c r="X33" s="39" t="e">
        <f t="shared" ca="1" si="15"/>
        <v>#NUM!</v>
      </c>
      <c r="Y33" s="123" t="str">
        <f>BIN2HEX(CONCATENATE(Y32,Z32,AA32,AB32,AC32,AD32,AE32,AF32),2)</f>
        <v>00</v>
      </c>
      <c r="Z33" s="124"/>
      <c r="AA33" s="124"/>
      <c r="AB33" s="124"/>
      <c r="AC33" s="124"/>
      <c r="AD33" s="124"/>
      <c r="AE33" s="124"/>
      <c r="AF33" s="125"/>
      <c r="AG33" s="123" t="str">
        <f>BIN2HEX(CONCATENATE(AG32,AH32,AI32,AJ32,AK32,AL32,AM32,AN32),2)</f>
        <v>20</v>
      </c>
      <c r="AH33" s="124"/>
      <c r="AI33" s="124"/>
      <c r="AJ33" s="124"/>
      <c r="AK33" s="124"/>
      <c r="AL33" s="124"/>
      <c r="AM33" s="124"/>
      <c r="AN33" s="125"/>
      <c r="AO33" s="123" t="str">
        <f>BIN2HEX(CONCATENATE(AO32,AP32,AQ32,AR32,AS32,AT32,AU32,AV32),2)</f>
        <v>00</v>
      </c>
      <c r="AP33" s="124"/>
      <c r="AQ33" s="124"/>
      <c r="AR33" s="124"/>
      <c r="AS33" s="124"/>
      <c r="AT33" s="124"/>
      <c r="AU33" s="124"/>
      <c r="AV33" s="125"/>
      <c r="AW33" s="123" t="str">
        <f>BIN2HEX(CONCATENATE(AW32,AX32,AY32,AZ32,BA32,BB32,BC32,BD32),2)</f>
        <v>00</v>
      </c>
      <c r="AX33" s="124"/>
      <c r="AY33" s="124"/>
      <c r="AZ33" s="124"/>
      <c r="BA33" s="124"/>
      <c r="BB33" s="124"/>
      <c r="BC33" s="124"/>
      <c r="BD33" s="125"/>
      <c r="BE33" s="123" t="str">
        <f>BIN2HEX(CONCATENATE(BE32,BF32,BG32,BH32,BI32,BJ32,BK32,BL32),2)</f>
        <v>00</v>
      </c>
      <c r="BF33" s="124"/>
      <c r="BG33" s="124"/>
      <c r="BH33" s="124"/>
      <c r="BI33" s="124"/>
      <c r="BJ33" s="124"/>
      <c r="BK33" s="124"/>
      <c r="BL33" s="125"/>
      <c r="BM33" s="123" t="str">
        <f>BIN2HEX(CONCATENATE(BM32,BN32,BO32,BP32,BQ32,BR32,BS32,BT32),2)</f>
        <v>00</v>
      </c>
      <c r="BN33" s="124"/>
      <c r="BO33" s="124"/>
      <c r="BP33" s="124"/>
      <c r="BQ33" s="124"/>
      <c r="BR33" s="124"/>
      <c r="BS33" s="124"/>
      <c r="BT33" s="125"/>
      <c r="BU33" s="123" t="str">
        <f>BIN2HEX(CONCATENATE(BU32,BV32,BW32,BX32,BY32,BZ32,CA32,CB32),2)</f>
        <v>00</v>
      </c>
      <c r="BV33" s="124"/>
      <c r="BW33" s="124"/>
      <c r="BX33" s="124"/>
      <c r="BY33" s="124"/>
      <c r="BZ33" s="124"/>
      <c r="CA33" s="124"/>
      <c r="CB33" s="125"/>
      <c r="CC33" s="123" t="str">
        <f>BIN2HEX(CONCATENATE(CC32,CD32,CE32,CF32,CG32,CH32,CI32,CJ32),2)</f>
        <v>00</v>
      </c>
      <c r="CD33" s="124"/>
      <c r="CE33" s="124"/>
      <c r="CF33" s="124"/>
      <c r="CG33" s="124"/>
      <c r="CH33" s="124"/>
      <c r="CI33" s="124"/>
      <c r="CJ33" s="125"/>
    </row>
    <row r="34" spans="1:88">
      <c r="A34" s="135" t="s">
        <v>13</v>
      </c>
      <c r="B34" s="32">
        <v>95</v>
      </c>
      <c r="C34" s="32">
        <v>0</v>
      </c>
      <c r="D34" s="32">
        <v>85</v>
      </c>
      <c r="E34" s="32">
        <v>0</v>
      </c>
      <c r="F34" s="32">
        <v>40</v>
      </c>
      <c r="G34" s="32">
        <v>0</v>
      </c>
      <c r="H34" s="32">
        <v>0</v>
      </c>
      <c r="I34" s="32">
        <v>40</v>
      </c>
      <c r="J34" s="32">
        <v>0</v>
      </c>
      <c r="K34" s="32">
        <v>49</v>
      </c>
      <c r="L34" s="32"/>
      <c r="M34" s="32">
        <v>1</v>
      </c>
      <c r="N34" s="32">
        <v>1</v>
      </c>
      <c r="O34" s="32">
        <v>0</v>
      </c>
      <c r="P34" s="32">
        <v>0</v>
      </c>
      <c r="Q34" s="32">
        <v>1</v>
      </c>
      <c r="R34" s="32">
        <v>0</v>
      </c>
      <c r="S34" s="32">
        <v>1</v>
      </c>
      <c r="T34" s="32">
        <v>0</v>
      </c>
      <c r="U34" s="32">
        <v>1</v>
      </c>
      <c r="V34" s="32">
        <v>0</v>
      </c>
      <c r="W34" s="32">
        <v>1</v>
      </c>
      <c r="X34" s="32">
        <v>0</v>
      </c>
      <c r="Y34" s="32">
        <v>0</v>
      </c>
      <c r="Z34" s="32">
        <v>0</v>
      </c>
      <c r="AA34" s="32">
        <v>1</v>
      </c>
      <c r="AB34" s="32">
        <v>0</v>
      </c>
      <c r="AC34" s="32">
        <v>0</v>
      </c>
      <c r="AD34" s="32">
        <v>0</v>
      </c>
      <c r="AE34" s="32">
        <v>0</v>
      </c>
      <c r="AF34" s="32">
        <v>0</v>
      </c>
      <c r="AG34" s="32">
        <v>0</v>
      </c>
      <c r="AH34" s="32">
        <v>0</v>
      </c>
      <c r="AI34" s="32">
        <v>0</v>
      </c>
      <c r="AJ34" s="32">
        <v>0</v>
      </c>
      <c r="AK34" s="32">
        <v>0</v>
      </c>
      <c r="AL34" s="32">
        <v>0</v>
      </c>
      <c r="AM34" s="32">
        <v>0</v>
      </c>
      <c r="AN34" s="32">
        <v>0</v>
      </c>
      <c r="AO34" s="32">
        <v>0</v>
      </c>
      <c r="AP34" s="32">
        <v>0</v>
      </c>
      <c r="AQ34" s="32">
        <v>0</v>
      </c>
      <c r="AR34" s="32">
        <v>0</v>
      </c>
      <c r="AS34" s="32">
        <v>0</v>
      </c>
      <c r="AT34" s="32">
        <v>0</v>
      </c>
      <c r="AU34" s="32">
        <v>0</v>
      </c>
      <c r="AV34" s="32">
        <v>1</v>
      </c>
      <c r="AW34" s="32">
        <v>0</v>
      </c>
      <c r="AX34" s="32">
        <v>0</v>
      </c>
      <c r="AY34" s="32">
        <v>0</v>
      </c>
      <c r="AZ34" s="32">
        <v>0</v>
      </c>
      <c r="BA34" s="32">
        <v>0</v>
      </c>
      <c r="BB34" s="32">
        <v>0</v>
      </c>
      <c r="BC34" s="32">
        <v>0</v>
      </c>
      <c r="BD34" s="32">
        <v>0</v>
      </c>
      <c r="BE34" s="32">
        <v>0</v>
      </c>
      <c r="BF34" s="32">
        <v>0</v>
      </c>
      <c r="BG34" s="32">
        <v>0</v>
      </c>
      <c r="BH34" s="32">
        <v>0</v>
      </c>
      <c r="BI34" s="32">
        <v>0</v>
      </c>
      <c r="BJ34" s="32">
        <v>0</v>
      </c>
      <c r="BK34" s="32">
        <v>0</v>
      </c>
      <c r="BL34" s="32">
        <v>0</v>
      </c>
      <c r="BM34" s="32">
        <v>0</v>
      </c>
      <c r="BN34" s="32">
        <v>0</v>
      </c>
      <c r="BO34" s="32">
        <v>0</v>
      </c>
      <c r="BP34" s="32">
        <v>0</v>
      </c>
      <c r="BQ34" s="32">
        <v>0</v>
      </c>
      <c r="BR34" s="32">
        <v>0</v>
      </c>
      <c r="BS34" s="32">
        <v>0</v>
      </c>
      <c r="BT34" s="32">
        <v>0</v>
      </c>
      <c r="BU34" s="32">
        <v>0</v>
      </c>
      <c r="BV34" s="32">
        <v>0</v>
      </c>
      <c r="BW34" s="32">
        <v>0</v>
      </c>
      <c r="BX34" s="32">
        <v>0</v>
      </c>
      <c r="BY34" s="32">
        <v>0</v>
      </c>
      <c r="BZ34" s="32">
        <v>0</v>
      </c>
      <c r="CA34" s="32">
        <v>0</v>
      </c>
      <c r="CB34" s="32">
        <v>0</v>
      </c>
      <c r="CC34" s="32">
        <v>0</v>
      </c>
      <c r="CD34" s="32">
        <v>0</v>
      </c>
      <c r="CE34" s="32">
        <v>0</v>
      </c>
      <c r="CF34" s="32">
        <v>0</v>
      </c>
      <c r="CG34" s="32">
        <v>0</v>
      </c>
      <c r="CH34" s="32">
        <v>0</v>
      </c>
      <c r="CI34" s="32">
        <v>0</v>
      </c>
      <c r="CJ34" s="32">
        <v>0</v>
      </c>
    </row>
    <row r="35" spans="1:88" hidden="1">
      <c r="A35" s="136"/>
      <c r="B35" s="39" t="e">
        <f ca="1">DEC2HEX(B34,INDIRECT("'parameters recipe'!$C"&amp;B$27))</f>
        <v>#NUM!</v>
      </c>
      <c r="C35" s="39" t="e">
        <f t="shared" ref="C35:L35" ca="1" si="16">DEC2HEX(C34,INDIRECT("'parameters recipe'!$C"&amp;C$27))</f>
        <v>#NUM!</v>
      </c>
      <c r="D35" s="39" t="e">
        <f t="shared" ca="1" si="16"/>
        <v>#NUM!</v>
      </c>
      <c r="E35" s="39" t="e">
        <f t="shared" ca="1" si="16"/>
        <v>#NUM!</v>
      </c>
      <c r="F35" s="39" t="e">
        <f t="shared" ca="1" si="16"/>
        <v>#NUM!</v>
      </c>
      <c r="G35" s="39" t="e">
        <f t="shared" ca="1" si="16"/>
        <v>#NUM!</v>
      </c>
      <c r="H35" s="39" t="str">
        <f t="shared" ca="1" si="16"/>
        <v>0</v>
      </c>
      <c r="I35" s="39" t="e">
        <f t="shared" ca="1" si="16"/>
        <v>#NUM!</v>
      </c>
      <c r="J35" s="39" t="str">
        <f t="shared" ca="1" si="16"/>
        <v>0</v>
      </c>
      <c r="K35" s="39" t="e">
        <f t="shared" ca="1" si="16"/>
        <v>#NUM!</v>
      </c>
      <c r="L35" s="39" t="str">
        <f t="shared" ca="1" si="16"/>
        <v>0</v>
      </c>
      <c r="M35" s="123" t="str">
        <f>BIN2HEX(CONCATENATE(M34,N34,O34,P34,Q34,R34,S34,T34),2)</f>
        <v>CA</v>
      </c>
      <c r="N35" s="124"/>
      <c r="O35" s="124"/>
      <c r="P35" s="124"/>
      <c r="Q35" s="124"/>
      <c r="R35" s="124"/>
      <c r="S35" s="124"/>
      <c r="T35" s="125"/>
      <c r="U35" s="39" t="e">
        <f t="shared" ref="U35:X35" ca="1" si="17">DEC2HEX(U34,INDIRECT("'parameters recipe'!$C"&amp;U$27))</f>
        <v>#NUM!</v>
      </c>
      <c r="V35" s="39" t="e">
        <f t="shared" ca="1" si="17"/>
        <v>#NUM!</v>
      </c>
      <c r="W35" s="39" t="e">
        <f t="shared" ca="1" si="17"/>
        <v>#NUM!</v>
      </c>
      <c r="X35" s="39" t="e">
        <f t="shared" ca="1" si="17"/>
        <v>#NUM!</v>
      </c>
      <c r="Y35" s="123" t="str">
        <f>BIN2HEX(CONCATENATE(Y34,Z34,AA34,AB34,AC34,AD34,AE34,AF34),2)</f>
        <v>20</v>
      </c>
      <c r="Z35" s="124"/>
      <c r="AA35" s="124"/>
      <c r="AB35" s="124"/>
      <c r="AC35" s="124"/>
      <c r="AD35" s="124"/>
      <c r="AE35" s="124"/>
      <c r="AF35" s="125"/>
      <c r="AG35" s="123" t="str">
        <f>BIN2HEX(CONCATENATE(AG34,AH34,AI34,AJ34,AK34,AL34,AM34,AN34),2)</f>
        <v>00</v>
      </c>
      <c r="AH35" s="124"/>
      <c r="AI35" s="124"/>
      <c r="AJ35" s="124"/>
      <c r="AK35" s="124"/>
      <c r="AL35" s="124"/>
      <c r="AM35" s="124"/>
      <c r="AN35" s="125"/>
      <c r="AO35" s="123" t="str">
        <f>BIN2HEX(CONCATENATE(AO34,AP34,AQ34,AR34,AS34,AT34,AU34,AV34),2)</f>
        <v>01</v>
      </c>
      <c r="AP35" s="124"/>
      <c r="AQ35" s="124"/>
      <c r="AR35" s="124"/>
      <c r="AS35" s="124"/>
      <c r="AT35" s="124"/>
      <c r="AU35" s="124"/>
      <c r="AV35" s="125"/>
      <c r="AW35" s="123" t="str">
        <f>BIN2HEX(CONCATENATE(AW34,AX34,AY34,AZ34,BA34,BB34,BC34,BD34),2)</f>
        <v>00</v>
      </c>
      <c r="AX35" s="124"/>
      <c r="AY35" s="124"/>
      <c r="AZ35" s="124"/>
      <c r="BA35" s="124"/>
      <c r="BB35" s="124"/>
      <c r="BC35" s="124"/>
      <c r="BD35" s="125"/>
      <c r="BE35" s="123" t="str">
        <f>BIN2HEX(CONCATENATE(BE34,BF34,BG34,BH34,BI34,BJ34,BK34,BL34),2)</f>
        <v>00</v>
      </c>
      <c r="BF35" s="124"/>
      <c r="BG35" s="124"/>
      <c r="BH35" s="124"/>
      <c r="BI35" s="124"/>
      <c r="BJ35" s="124"/>
      <c r="BK35" s="124"/>
      <c r="BL35" s="125"/>
      <c r="BM35" s="123" t="str">
        <f>BIN2HEX(CONCATENATE(BM34,BN34,BO34,BP34,BQ34,BR34,BS34,BT34),2)</f>
        <v>00</v>
      </c>
      <c r="BN35" s="124"/>
      <c r="BO35" s="124"/>
      <c r="BP35" s="124"/>
      <c r="BQ35" s="124"/>
      <c r="BR35" s="124"/>
      <c r="BS35" s="124"/>
      <c r="BT35" s="125"/>
      <c r="BU35" s="123" t="str">
        <f>BIN2HEX(CONCATENATE(BU34,BV34,BW34,BX34,BY34,BZ34,CA34,CB34),2)</f>
        <v>00</v>
      </c>
      <c r="BV35" s="124"/>
      <c r="BW35" s="124"/>
      <c r="BX35" s="124"/>
      <c r="BY35" s="124"/>
      <c r="BZ35" s="124"/>
      <c r="CA35" s="124"/>
      <c r="CB35" s="125"/>
      <c r="CC35" s="123" t="str">
        <f>BIN2HEX(CONCATENATE(CC34,CD34,CE34,CF34,CG34,CH34,CI34,CJ34),2)</f>
        <v>00</v>
      </c>
      <c r="CD35" s="124"/>
      <c r="CE35" s="124"/>
      <c r="CF35" s="124"/>
      <c r="CG35" s="124"/>
      <c r="CH35" s="124"/>
      <c r="CI35" s="124"/>
      <c r="CJ35" s="125"/>
    </row>
    <row r="36" spans="1:88">
      <c r="A36" s="135" t="s">
        <v>14</v>
      </c>
      <c r="B36" s="32">
        <v>95</v>
      </c>
      <c r="C36" s="32">
        <v>0</v>
      </c>
      <c r="D36" s="32">
        <v>85</v>
      </c>
      <c r="E36" s="32">
        <v>0</v>
      </c>
      <c r="F36" s="32">
        <v>20</v>
      </c>
      <c r="G36" s="32">
        <v>0</v>
      </c>
      <c r="H36" s="32">
        <v>0</v>
      </c>
      <c r="I36" s="32">
        <v>100</v>
      </c>
      <c r="J36" s="32">
        <v>0</v>
      </c>
      <c r="K36" s="32">
        <v>40</v>
      </c>
      <c r="L36" s="32">
        <v>40</v>
      </c>
      <c r="M36" s="32">
        <v>1</v>
      </c>
      <c r="N36" s="32">
        <v>1</v>
      </c>
      <c r="O36" s="32">
        <v>0</v>
      </c>
      <c r="P36" s="32">
        <v>0</v>
      </c>
      <c r="Q36" s="32">
        <v>1</v>
      </c>
      <c r="R36" s="32">
        <v>0</v>
      </c>
      <c r="S36" s="32">
        <v>1</v>
      </c>
      <c r="T36" s="32">
        <v>0</v>
      </c>
      <c r="U36" s="32">
        <v>1</v>
      </c>
      <c r="V36" s="32">
        <v>0</v>
      </c>
      <c r="W36" s="32">
        <v>3</v>
      </c>
      <c r="X36" s="32">
        <v>0</v>
      </c>
      <c r="Y36" s="32">
        <v>0</v>
      </c>
      <c r="Z36" s="32">
        <v>0</v>
      </c>
      <c r="AA36" s="32">
        <v>0</v>
      </c>
      <c r="AB36" s="32">
        <v>0</v>
      </c>
      <c r="AC36" s="32">
        <v>0</v>
      </c>
      <c r="AD36" s="32">
        <v>0</v>
      </c>
      <c r="AE36" s="32">
        <v>0</v>
      </c>
      <c r="AF36" s="32">
        <v>1</v>
      </c>
      <c r="AG36" s="32">
        <v>0</v>
      </c>
      <c r="AH36" s="32">
        <v>0</v>
      </c>
      <c r="AI36" s="32">
        <v>0</v>
      </c>
      <c r="AJ36" s="32">
        <v>0</v>
      </c>
      <c r="AK36" s="32">
        <v>0</v>
      </c>
      <c r="AL36" s="32">
        <v>0</v>
      </c>
      <c r="AM36" s="32">
        <v>0</v>
      </c>
      <c r="AN36" s="32">
        <v>0</v>
      </c>
      <c r="AO36" s="32">
        <v>0</v>
      </c>
      <c r="AP36" s="32">
        <v>0</v>
      </c>
      <c r="AQ36" s="32">
        <v>0</v>
      </c>
      <c r="AR36" s="32">
        <v>0</v>
      </c>
      <c r="AS36" s="32">
        <v>0</v>
      </c>
      <c r="AT36" s="32">
        <v>0</v>
      </c>
      <c r="AU36" s="32">
        <v>0</v>
      </c>
      <c r="AV36" s="32">
        <v>0</v>
      </c>
      <c r="AW36" s="32">
        <v>0</v>
      </c>
      <c r="AX36" s="32">
        <v>0</v>
      </c>
      <c r="AY36" s="32">
        <v>0</v>
      </c>
      <c r="AZ36" s="32">
        <v>0</v>
      </c>
      <c r="BA36" s="32">
        <v>0</v>
      </c>
      <c r="BB36" s="32">
        <v>0</v>
      </c>
      <c r="BC36" s="32">
        <v>0</v>
      </c>
      <c r="BD36" s="32">
        <v>0</v>
      </c>
      <c r="BE36" s="32">
        <v>0</v>
      </c>
      <c r="BF36" s="32">
        <v>0</v>
      </c>
      <c r="BG36" s="32">
        <v>0</v>
      </c>
      <c r="BH36" s="32">
        <v>0</v>
      </c>
      <c r="BI36" s="32">
        <v>0</v>
      </c>
      <c r="BJ36" s="32">
        <v>0</v>
      </c>
      <c r="BK36" s="32">
        <v>0</v>
      </c>
      <c r="BL36" s="32">
        <v>0</v>
      </c>
      <c r="BM36" s="32">
        <v>0</v>
      </c>
      <c r="BN36" s="32">
        <v>0</v>
      </c>
      <c r="BO36" s="32">
        <v>0</v>
      </c>
      <c r="BP36" s="32">
        <v>0</v>
      </c>
      <c r="BQ36" s="32">
        <v>0</v>
      </c>
      <c r="BR36" s="32">
        <v>0</v>
      </c>
      <c r="BS36" s="32">
        <v>0</v>
      </c>
      <c r="BT36" s="32">
        <v>0</v>
      </c>
      <c r="BU36" s="32">
        <v>0</v>
      </c>
      <c r="BV36" s="32">
        <v>0</v>
      </c>
      <c r="BW36" s="32">
        <v>0</v>
      </c>
      <c r="BX36" s="32">
        <v>0</v>
      </c>
      <c r="BY36" s="32">
        <v>0</v>
      </c>
      <c r="BZ36" s="32">
        <v>0</v>
      </c>
      <c r="CA36" s="32">
        <v>0</v>
      </c>
      <c r="CB36" s="32">
        <v>0</v>
      </c>
      <c r="CC36" s="32">
        <v>0</v>
      </c>
      <c r="CD36" s="32">
        <v>0</v>
      </c>
      <c r="CE36" s="32">
        <v>0</v>
      </c>
      <c r="CF36" s="32">
        <v>0</v>
      </c>
      <c r="CG36" s="32">
        <v>0</v>
      </c>
      <c r="CH36" s="32">
        <v>0</v>
      </c>
      <c r="CI36" s="32">
        <v>0</v>
      </c>
      <c r="CJ36" s="32">
        <v>0</v>
      </c>
    </row>
    <row r="37" spans="1:88" hidden="1">
      <c r="A37" s="136"/>
      <c r="B37" s="39" t="e">
        <f ca="1">DEC2HEX(B36,INDIRECT("'parameters recipe'!$C"&amp;B$27))</f>
        <v>#NUM!</v>
      </c>
      <c r="C37" s="39" t="e">
        <f t="shared" ref="C37:L37" ca="1" si="18">DEC2HEX(C36,INDIRECT("'parameters recipe'!$C"&amp;C$27))</f>
        <v>#NUM!</v>
      </c>
      <c r="D37" s="39" t="e">
        <f t="shared" ca="1" si="18"/>
        <v>#NUM!</v>
      </c>
      <c r="E37" s="39" t="e">
        <f t="shared" ca="1" si="18"/>
        <v>#NUM!</v>
      </c>
      <c r="F37" s="39" t="e">
        <f t="shared" ca="1" si="18"/>
        <v>#NUM!</v>
      </c>
      <c r="G37" s="39" t="e">
        <f t="shared" ca="1" si="18"/>
        <v>#NUM!</v>
      </c>
      <c r="H37" s="39" t="str">
        <f t="shared" ca="1" si="18"/>
        <v>0</v>
      </c>
      <c r="I37" s="39" t="e">
        <f t="shared" ca="1" si="18"/>
        <v>#NUM!</v>
      </c>
      <c r="J37" s="39" t="str">
        <f t="shared" ca="1" si="18"/>
        <v>0</v>
      </c>
      <c r="K37" s="39" t="e">
        <f t="shared" ca="1" si="18"/>
        <v>#NUM!</v>
      </c>
      <c r="L37" s="39" t="e">
        <f t="shared" ca="1" si="18"/>
        <v>#NUM!</v>
      </c>
      <c r="M37" s="123" t="str">
        <f>BIN2HEX(CONCATENATE(M36,N36,O36,P36,Q36,R36,S36,T36),2)</f>
        <v>CA</v>
      </c>
      <c r="N37" s="124"/>
      <c r="O37" s="124"/>
      <c r="P37" s="124"/>
      <c r="Q37" s="124"/>
      <c r="R37" s="124"/>
      <c r="S37" s="124"/>
      <c r="T37" s="125"/>
      <c r="U37" s="39" t="e">
        <f t="shared" ref="U37:X37" ca="1" si="19">DEC2HEX(U36,INDIRECT("'parameters recipe'!$C"&amp;U$27))</f>
        <v>#NUM!</v>
      </c>
      <c r="V37" s="39" t="e">
        <f t="shared" ca="1" si="19"/>
        <v>#NUM!</v>
      </c>
      <c r="W37" s="39" t="e">
        <f t="shared" ca="1" si="19"/>
        <v>#NUM!</v>
      </c>
      <c r="X37" s="39" t="e">
        <f t="shared" ca="1" si="19"/>
        <v>#NUM!</v>
      </c>
      <c r="Y37" s="123" t="str">
        <f>BIN2HEX(CONCATENATE(Y36,Z36,AA36,AB36,AC36,AD36,AE36,AF36),2)</f>
        <v>01</v>
      </c>
      <c r="Z37" s="124"/>
      <c r="AA37" s="124"/>
      <c r="AB37" s="124"/>
      <c r="AC37" s="124"/>
      <c r="AD37" s="124"/>
      <c r="AE37" s="124"/>
      <c r="AF37" s="125"/>
      <c r="AG37" s="123" t="str">
        <f>BIN2HEX(CONCATENATE(AG36,AH36,AI36,AJ36,AK36,AL36,AM36,AN36),2)</f>
        <v>00</v>
      </c>
      <c r="AH37" s="124"/>
      <c r="AI37" s="124"/>
      <c r="AJ37" s="124"/>
      <c r="AK37" s="124"/>
      <c r="AL37" s="124"/>
      <c r="AM37" s="124"/>
      <c r="AN37" s="125"/>
      <c r="AO37" s="123" t="str">
        <f>BIN2HEX(CONCATENATE(AO36,AP36,AQ36,AR36,AS36,AT36,AU36,AV36),2)</f>
        <v>00</v>
      </c>
      <c r="AP37" s="124"/>
      <c r="AQ37" s="124"/>
      <c r="AR37" s="124"/>
      <c r="AS37" s="124"/>
      <c r="AT37" s="124"/>
      <c r="AU37" s="124"/>
      <c r="AV37" s="125"/>
      <c r="AW37" s="123" t="str">
        <f>BIN2HEX(CONCATENATE(AW36,AX36,AY36,AZ36,BA36,BB36,BC36,BD36),2)</f>
        <v>00</v>
      </c>
      <c r="AX37" s="124"/>
      <c r="AY37" s="124"/>
      <c r="AZ37" s="124"/>
      <c r="BA37" s="124"/>
      <c r="BB37" s="124"/>
      <c r="BC37" s="124"/>
      <c r="BD37" s="125"/>
      <c r="BE37" s="123" t="str">
        <f>BIN2HEX(CONCATENATE(BE36,BF36,BG36,BH36,BI36,BJ36,BK36,BL36),2)</f>
        <v>00</v>
      </c>
      <c r="BF37" s="124"/>
      <c r="BG37" s="124"/>
      <c r="BH37" s="124"/>
      <c r="BI37" s="124"/>
      <c r="BJ37" s="124"/>
      <c r="BK37" s="124"/>
      <c r="BL37" s="125"/>
      <c r="BM37" s="123" t="str">
        <f>BIN2HEX(CONCATENATE(BM36,BN36,BO36,BP36,BQ36,BR36,BS36,BT36),2)</f>
        <v>00</v>
      </c>
      <c r="BN37" s="124"/>
      <c r="BO37" s="124"/>
      <c r="BP37" s="124"/>
      <c r="BQ37" s="124"/>
      <c r="BR37" s="124"/>
      <c r="BS37" s="124"/>
      <c r="BT37" s="125"/>
      <c r="BU37" s="123" t="str">
        <f>BIN2HEX(CONCATENATE(BU36,BV36,BW36,BX36,BY36,BZ36,CA36,CB36),2)</f>
        <v>00</v>
      </c>
      <c r="BV37" s="124"/>
      <c r="BW37" s="124"/>
      <c r="BX37" s="124"/>
      <c r="BY37" s="124"/>
      <c r="BZ37" s="124"/>
      <c r="CA37" s="124"/>
      <c r="CB37" s="125"/>
      <c r="CC37" s="123" t="str">
        <f>BIN2HEX(CONCATENATE(CC36,CD36,CE36,CF36,CG36,CH36,CI36,CJ36),2)</f>
        <v>00</v>
      </c>
      <c r="CD37" s="124"/>
      <c r="CE37" s="124"/>
      <c r="CF37" s="124"/>
      <c r="CG37" s="124"/>
      <c r="CH37" s="124"/>
      <c r="CI37" s="124"/>
      <c r="CJ37" s="125"/>
    </row>
    <row r="38" spans="1:88">
      <c r="A38" s="135" t="s">
        <v>15</v>
      </c>
      <c r="B38" s="32">
        <v>0</v>
      </c>
      <c r="C38" s="32">
        <v>0</v>
      </c>
      <c r="D38" s="32">
        <v>0</v>
      </c>
      <c r="E38" s="32">
        <v>0</v>
      </c>
      <c r="F38" s="32">
        <v>0</v>
      </c>
      <c r="G38" s="32">
        <v>0</v>
      </c>
      <c r="H38" s="32">
        <v>0</v>
      </c>
      <c r="I38" s="32">
        <v>0</v>
      </c>
      <c r="J38" s="32">
        <v>0</v>
      </c>
      <c r="K38" s="32">
        <v>0</v>
      </c>
      <c r="L38" s="32">
        <v>0</v>
      </c>
      <c r="M38" s="32">
        <v>0</v>
      </c>
      <c r="N38" s="32">
        <v>0</v>
      </c>
      <c r="O38" s="32">
        <v>0</v>
      </c>
      <c r="P38" s="32">
        <v>0</v>
      </c>
      <c r="Q38" s="32">
        <v>0</v>
      </c>
      <c r="R38" s="32">
        <v>0</v>
      </c>
      <c r="S38" s="32">
        <v>0</v>
      </c>
      <c r="T38" s="32">
        <v>0</v>
      </c>
      <c r="U38" s="32">
        <v>0</v>
      </c>
      <c r="V38" s="32">
        <v>0</v>
      </c>
      <c r="W38" s="32">
        <v>0</v>
      </c>
      <c r="X38" s="32">
        <v>0</v>
      </c>
      <c r="Y38" s="32">
        <v>0</v>
      </c>
      <c r="Z38" s="32">
        <v>0</v>
      </c>
      <c r="AA38" s="32">
        <v>0</v>
      </c>
      <c r="AB38" s="32">
        <v>0</v>
      </c>
      <c r="AC38" s="32">
        <v>0</v>
      </c>
      <c r="AD38" s="32">
        <v>0</v>
      </c>
      <c r="AE38" s="32">
        <v>0</v>
      </c>
      <c r="AF38" s="32">
        <v>0</v>
      </c>
      <c r="AG38" s="32">
        <v>0</v>
      </c>
      <c r="AH38" s="32">
        <v>0</v>
      </c>
      <c r="AI38" s="32">
        <v>0</v>
      </c>
      <c r="AJ38" s="32">
        <v>0</v>
      </c>
      <c r="AK38" s="32">
        <v>0</v>
      </c>
      <c r="AL38" s="32">
        <v>0</v>
      </c>
      <c r="AM38" s="32">
        <v>0</v>
      </c>
      <c r="AN38" s="32">
        <v>0</v>
      </c>
      <c r="AO38" s="32">
        <v>0</v>
      </c>
      <c r="AP38" s="32">
        <v>0</v>
      </c>
      <c r="AQ38" s="32">
        <v>0</v>
      </c>
      <c r="AR38" s="32">
        <v>0</v>
      </c>
      <c r="AS38" s="32">
        <v>0</v>
      </c>
      <c r="AT38" s="32">
        <v>0</v>
      </c>
      <c r="AU38" s="32">
        <v>0</v>
      </c>
      <c r="AV38" s="32">
        <v>0</v>
      </c>
      <c r="AW38" s="32">
        <v>0</v>
      </c>
      <c r="AX38" s="32">
        <v>0</v>
      </c>
      <c r="AY38" s="32">
        <v>0</v>
      </c>
      <c r="AZ38" s="32">
        <v>0</v>
      </c>
      <c r="BA38" s="32">
        <v>0</v>
      </c>
      <c r="BB38" s="32">
        <v>0</v>
      </c>
      <c r="BC38" s="32">
        <v>0</v>
      </c>
      <c r="BD38" s="32">
        <v>0</v>
      </c>
      <c r="BE38" s="32">
        <v>0</v>
      </c>
      <c r="BF38" s="32">
        <v>0</v>
      </c>
      <c r="BG38" s="32">
        <v>0</v>
      </c>
      <c r="BH38" s="32">
        <v>0</v>
      </c>
      <c r="BI38" s="32">
        <v>0</v>
      </c>
      <c r="BJ38" s="32">
        <v>0</v>
      </c>
      <c r="BK38" s="32">
        <v>0</v>
      </c>
      <c r="BL38" s="32">
        <v>0</v>
      </c>
      <c r="BM38" s="32">
        <v>0</v>
      </c>
      <c r="BN38" s="32">
        <v>0</v>
      </c>
      <c r="BO38" s="32">
        <v>0</v>
      </c>
      <c r="BP38" s="32">
        <v>0</v>
      </c>
      <c r="BQ38" s="32">
        <v>0</v>
      </c>
      <c r="BR38" s="32">
        <v>0</v>
      </c>
      <c r="BS38" s="32">
        <v>0</v>
      </c>
      <c r="BT38" s="32">
        <v>0</v>
      </c>
      <c r="BU38" s="32">
        <v>0</v>
      </c>
      <c r="BV38" s="32">
        <v>0</v>
      </c>
      <c r="BW38" s="32">
        <v>0</v>
      </c>
      <c r="BX38" s="32">
        <v>0</v>
      </c>
      <c r="BY38" s="32">
        <v>0</v>
      </c>
      <c r="BZ38" s="32">
        <v>0</v>
      </c>
      <c r="CA38" s="32">
        <v>0</v>
      </c>
      <c r="CB38" s="32">
        <v>0</v>
      </c>
      <c r="CC38" s="32">
        <v>0</v>
      </c>
      <c r="CD38" s="32">
        <v>0</v>
      </c>
      <c r="CE38" s="32">
        <v>0</v>
      </c>
      <c r="CF38" s="32">
        <v>0</v>
      </c>
      <c r="CG38" s="32">
        <v>0</v>
      </c>
      <c r="CH38" s="32">
        <v>0</v>
      </c>
      <c r="CI38" s="32">
        <v>0</v>
      </c>
      <c r="CJ38" s="32">
        <v>0</v>
      </c>
    </row>
    <row r="39" spans="1:88" hidden="1">
      <c r="A39" s="136"/>
      <c r="B39" s="39" t="str">
        <f ca="1">DEC2HEX(B38,INDIRECT("'parameters recipe'!$C"&amp;B$27))</f>
        <v>0</v>
      </c>
      <c r="C39" s="39" t="e">
        <f t="shared" ref="C39:L39" ca="1" si="20">DEC2HEX(C38,INDIRECT("'parameters recipe'!$C"&amp;C$27))</f>
        <v>#NUM!</v>
      </c>
      <c r="D39" s="39" t="str">
        <f t="shared" ca="1" si="20"/>
        <v>0</v>
      </c>
      <c r="E39" s="39" t="e">
        <f t="shared" ca="1" si="20"/>
        <v>#NUM!</v>
      </c>
      <c r="F39" s="39" t="str">
        <f t="shared" ca="1" si="20"/>
        <v>0</v>
      </c>
      <c r="G39" s="39" t="e">
        <f t="shared" ca="1" si="20"/>
        <v>#NUM!</v>
      </c>
      <c r="H39" s="39" t="str">
        <f t="shared" ca="1" si="20"/>
        <v>0</v>
      </c>
      <c r="I39" s="39" t="e">
        <f t="shared" ca="1" si="20"/>
        <v>#NUM!</v>
      </c>
      <c r="J39" s="39" t="str">
        <f t="shared" ca="1" si="20"/>
        <v>0</v>
      </c>
      <c r="K39" s="39" t="e">
        <f t="shared" ca="1" si="20"/>
        <v>#NUM!</v>
      </c>
      <c r="L39" s="39" t="str">
        <f t="shared" ca="1" si="20"/>
        <v>0</v>
      </c>
      <c r="M39" s="123" t="str">
        <f>BIN2HEX(CONCATENATE(M38,N38,O38,P38,Q38,R38,S38,T38),2)</f>
        <v>00</v>
      </c>
      <c r="N39" s="124"/>
      <c r="O39" s="124"/>
      <c r="P39" s="124"/>
      <c r="Q39" s="124"/>
      <c r="R39" s="124"/>
      <c r="S39" s="124"/>
      <c r="T39" s="125"/>
      <c r="U39" s="39" t="e">
        <f t="shared" ref="U39:X39" ca="1" si="21">DEC2HEX(U38,INDIRECT("'parameters recipe'!$C"&amp;U$27))</f>
        <v>#NUM!</v>
      </c>
      <c r="V39" s="39" t="e">
        <f t="shared" ca="1" si="21"/>
        <v>#NUM!</v>
      </c>
      <c r="W39" s="39" t="e">
        <f t="shared" ca="1" si="21"/>
        <v>#NUM!</v>
      </c>
      <c r="X39" s="39" t="e">
        <f t="shared" ca="1" si="21"/>
        <v>#NUM!</v>
      </c>
      <c r="Y39" s="123" t="str">
        <f>BIN2HEX(CONCATENATE(Y38,Z38,AA38,AB38,AC38,AD38,AE38,AF38),2)</f>
        <v>00</v>
      </c>
      <c r="Z39" s="124"/>
      <c r="AA39" s="124"/>
      <c r="AB39" s="124"/>
      <c r="AC39" s="124"/>
      <c r="AD39" s="124"/>
      <c r="AE39" s="124"/>
      <c r="AF39" s="125"/>
      <c r="AG39" s="123" t="str">
        <f>BIN2HEX(CONCATENATE(AG38,AH38,AI38,AJ38,AK38,AL38,AM38,AN38),2)</f>
        <v>00</v>
      </c>
      <c r="AH39" s="124"/>
      <c r="AI39" s="124"/>
      <c r="AJ39" s="124"/>
      <c r="AK39" s="124"/>
      <c r="AL39" s="124"/>
      <c r="AM39" s="124"/>
      <c r="AN39" s="125"/>
      <c r="AO39" s="123" t="str">
        <f>BIN2HEX(CONCATENATE(AO38,AP38,AQ38,AR38,AS38,AT38,AU38,AV38),2)</f>
        <v>00</v>
      </c>
      <c r="AP39" s="124"/>
      <c r="AQ39" s="124"/>
      <c r="AR39" s="124"/>
      <c r="AS39" s="124"/>
      <c r="AT39" s="124"/>
      <c r="AU39" s="124"/>
      <c r="AV39" s="125"/>
      <c r="AW39" s="123" t="str">
        <f>BIN2HEX(CONCATENATE(AW38,AX38,AY38,AZ38,BA38,BB38,BC38,BD38),2)</f>
        <v>00</v>
      </c>
      <c r="AX39" s="124"/>
      <c r="AY39" s="124"/>
      <c r="AZ39" s="124"/>
      <c r="BA39" s="124"/>
      <c r="BB39" s="124"/>
      <c r="BC39" s="124"/>
      <c r="BD39" s="125"/>
      <c r="BE39" s="123" t="str">
        <f>BIN2HEX(CONCATENATE(BE38,BF38,BG38,BH38,BI38,BJ38,BK38,BL38),2)</f>
        <v>00</v>
      </c>
      <c r="BF39" s="124"/>
      <c r="BG39" s="124"/>
      <c r="BH39" s="124"/>
      <c r="BI39" s="124"/>
      <c r="BJ39" s="124"/>
      <c r="BK39" s="124"/>
      <c r="BL39" s="125"/>
      <c r="BM39" s="123" t="str">
        <f>BIN2HEX(CONCATENATE(BM38,BN38,BO38,BP38,BQ38,BR38,BS38,BT38),2)</f>
        <v>00</v>
      </c>
      <c r="BN39" s="124"/>
      <c r="BO39" s="124"/>
      <c r="BP39" s="124"/>
      <c r="BQ39" s="124"/>
      <c r="BR39" s="124"/>
      <c r="BS39" s="124"/>
      <c r="BT39" s="125"/>
      <c r="BU39" s="123" t="str">
        <f>BIN2HEX(CONCATENATE(BU38,BV38,BW38,BX38,BY38,BZ38,CA38,CB38),2)</f>
        <v>00</v>
      </c>
      <c r="BV39" s="124"/>
      <c r="BW39" s="124"/>
      <c r="BX39" s="124"/>
      <c r="BY39" s="124"/>
      <c r="BZ39" s="124"/>
      <c r="CA39" s="124"/>
      <c r="CB39" s="125"/>
      <c r="CC39" s="123" t="str">
        <f>BIN2HEX(CONCATENATE(CC38,CD38,CE38,CF38,CG38,CH38,CI38,CJ38),2)</f>
        <v>00</v>
      </c>
      <c r="CD39" s="124"/>
      <c r="CE39" s="124"/>
      <c r="CF39" s="124"/>
      <c r="CG39" s="124"/>
      <c r="CH39" s="124"/>
      <c r="CI39" s="124"/>
      <c r="CJ39" s="125"/>
    </row>
    <row r="40" spans="1:88">
      <c r="A40" s="135" t="s">
        <v>16</v>
      </c>
      <c r="B40" s="32">
        <v>0</v>
      </c>
      <c r="C40" s="32">
        <v>0</v>
      </c>
      <c r="D40" s="32">
        <v>0</v>
      </c>
      <c r="E40" s="32">
        <v>0</v>
      </c>
      <c r="F40" s="32">
        <v>0</v>
      </c>
      <c r="G40" s="32">
        <v>0</v>
      </c>
      <c r="H40" s="32">
        <v>0</v>
      </c>
      <c r="I40" s="32">
        <v>0</v>
      </c>
      <c r="J40" s="32">
        <v>0</v>
      </c>
      <c r="K40" s="32">
        <v>0</v>
      </c>
      <c r="L40" s="32">
        <v>0</v>
      </c>
      <c r="M40" s="32">
        <v>0</v>
      </c>
      <c r="N40" s="32">
        <v>0</v>
      </c>
      <c r="O40" s="32">
        <v>0</v>
      </c>
      <c r="P40" s="32">
        <v>0</v>
      </c>
      <c r="Q40" s="32">
        <v>0</v>
      </c>
      <c r="R40" s="32">
        <v>0</v>
      </c>
      <c r="S40" s="32">
        <v>0</v>
      </c>
      <c r="T40" s="32">
        <v>0</v>
      </c>
      <c r="U40" s="32">
        <v>0</v>
      </c>
      <c r="V40" s="32">
        <v>0</v>
      </c>
      <c r="W40" s="32">
        <v>0</v>
      </c>
      <c r="X40" s="32">
        <v>0</v>
      </c>
      <c r="Y40" s="32">
        <v>0</v>
      </c>
      <c r="Z40" s="32">
        <v>0</v>
      </c>
      <c r="AA40" s="32">
        <v>0</v>
      </c>
      <c r="AB40" s="32">
        <v>0</v>
      </c>
      <c r="AC40" s="32">
        <v>0</v>
      </c>
      <c r="AD40" s="32">
        <v>0</v>
      </c>
      <c r="AE40" s="32">
        <v>0</v>
      </c>
      <c r="AF40" s="32">
        <v>0</v>
      </c>
      <c r="AG40" s="32">
        <v>0</v>
      </c>
      <c r="AH40" s="32">
        <v>0</v>
      </c>
      <c r="AI40" s="32">
        <v>0</v>
      </c>
      <c r="AJ40" s="32">
        <v>0</v>
      </c>
      <c r="AK40" s="32">
        <v>0</v>
      </c>
      <c r="AL40" s="32">
        <v>0</v>
      </c>
      <c r="AM40" s="32">
        <v>0</v>
      </c>
      <c r="AN40" s="32">
        <v>0</v>
      </c>
      <c r="AO40" s="32">
        <v>0</v>
      </c>
      <c r="AP40" s="32">
        <v>0</v>
      </c>
      <c r="AQ40" s="32">
        <v>0</v>
      </c>
      <c r="AR40" s="32">
        <v>0</v>
      </c>
      <c r="AS40" s="32">
        <v>0</v>
      </c>
      <c r="AT40" s="32">
        <v>0</v>
      </c>
      <c r="AU40" s="32">
        <v>0</v>
      </c>
      <c r="AV40" s="32">
        <v>0</v>
      </c>
      <c r="AW40" s="32">
        <v>0</v>
      </c>
      <c r="AX40" s="32">
        <v>0</v>
      </c>
      <c r="AY40" s="32">
        <v>0</v>
      </c>
      <c r="AZ40" s="32">
        <v>0</v>
      </c>
      <c r="BA40" s="32">
        <v>0</v>
      </c>
      <c r="BB40" s="32">
        <v>0</v>
      </c>
      <c r="BC40" s="32">
        <v>0</v>
      </c>
      <c r="BD40" s="32">
        <v>0</v>
      </c>
      <c r="BE40" s="32">
        <v>0</v>
      </c>
      <c r="BF40" s="32">
        <v>0</v>
      </c>
      <c r="BG40" s="32">
        <v>0</v>
      </c>
      <c r="BH40" s="32">
        <v>0</v>
      </c>
      <c r="BI40" s="32">
        <v>0</v>
      </c>
      <c r="BJ40" s="32">
        <v>0</v>
      </c>
      <c r="BK40" s="32">
        <v>0</v>
      </c>
      <c r="BL40" s="32">
        <v>0</v>
      </c>
      <c r="BM40" s="32">
        <v>0</v>
      </c>
      <c r="BN40" s="32">
        <v>0</v>
      </c>
      <c r="BO40" s="32">
        <v>0</v>
      </c>
      <c r="BP40" s="32">
        <v>0</v>
      </c>
      <c r="BQ40" s="32">
        <v>0</v>
      </c>
      <c r="BR40" s="32">
        <v>0</v>
      </c>
      <c r="BS40" s="32">
        <v>0</v>
      </c>
      <c r="BT40" s="32">
        <v>0</v>
      </c>
      <c r="BU40" s="32">
        <v>0</v>
      </c>
      <c r="BV40" s="32">
        <v>0</v>
      </c>
      <c r="BW40" s="32">
        <v>0</v>
      </c>
      <c r="BX40" s="32">
        <v>0</v>
      </c>
      <c r="BY40" s="32">
        <v>0</v>
      </c>
      <c r="BZ40" s="32">
        <v>0</v>
      </c>
      <c r="CA40" s="32">
        <v>0</v>
      </c>
      <c r="CB40" s="32">
        <v>0</v>
      </c>
      <c r="CC40" s="32">
        <v>0</v>
      </c>
      <c r="CD40" s="32">
        <v>0</v>
      </c>
      <c r="CE40" s="32">
        <v>0</v>
      </c>
      <c r="CF40" s="32">
        <v>0</v>
      </c>
      <c r="CG40" s="32">
        <v>0</v>
      </c>
      <c r="CH40" s="32">
        <v>0</v>
      </c>
      <c r="CI40" s="32">
        <v>0</v>
      </c>
      <c r="CJ40" s="32">
        <v>0</v>
      </c>
    </row>
    <row r="41" spans="1:88" hidden="1">
      <c r="A41" s="136"/>
      <c r="B41" s="39" t="str">
        <f ca="1">DEC2HEX(B40,INDIRECT("'parameters recipe'!$C"&amp;B$27))</f>
        <v>0</v>
      </c>
      <c r="C41" s="39" t="e">
        <f t="shared" ref="C41:L41" ca="1" si="22">DEC2HEX(C40,INDIRECT("'parameters recipe'!$C"&amp;C$27))</f>
        <v>#NUM!</v>
      </c>
      <c r="D41" s="39" t="str">
        <f t="shared" ca="1" si="22"/>
        <v>0</v>
      </c>
      <c r="E41" s="39" t="e">
        <f t="shared" ca="1" si="22"/>
        <v>#NUM!</v>
      </c>
      <c r="F41" s="39" t="str">
        <f t="shared" ca="1" si="22"/>
        <v>0</v>
      </c>
      <c r="G41" s="39" t="e">
        <f t="shared" ca="1" si="22"/>
        <v>#NUM!</v>
      </c>
      <c r="H41" s="39" t="str">
        <f t="shared" ca="1" si="22"/>
        <v>0</v>
      </c>
      <c r="I41" s="39" t="e">
        <f t="shared" ca="1" si="22"/>
        <v>#NUM!</v>
      </c>
      <c r="J41" s="39" t="str">
        <f t="shared" ca="1" si="22"/>
        <v>0</v>
      </c>
      <c r="K41" s="39" t="e">
        <f t="shared" ca="1" si="22"/>
        <v>#NUM!</v>
      </c>
      <c r="L41" s="39" t="str">
        <f t="shared" ca="1" si="22"/>
        <v>0</v>
      </c>
      <c r="M41" s="123" t="str">
        <f>BIN2HEX(CONCATENATE(M40,N40,O40,P40,Q40,R40,S40,T40),2)</f>
        <v>00</v>
      </c>
      <c r="N41" s="124"/>
      <c r="O41" s="124"/>
      <c r="P41" s="124"/>
      <c r="Q41" s="124"/>
      <c r="R41" s="124"/>
      <c r="S41" s="124"/>
      <c r="T41" s="125"/>
      <c r="U41" s="39" t="e">
        <f t="shared" ref="U41:X41" ca="1" si="23">DEC2HEX(U40,INDIRECT("'parameters recipe'!$C"&amp;U$27))</f>
        <v>#NUM!</v>
      </c>
      <c r="V41" s="39" t="e">
        <f t="shared" ca="1" si="23"/>
        <v>#NUM!</v>
      </c>
      <c r="W41" s="39" t="e">
        <f t="shared" ca="1" si="23"/>
        <v>#NUM!</v>
      </c>
      <c r="X41" s="39" t="e">
        <f t="shared" ca="1" si="23"/>
        <v>#NUM!</v>
      </c>
      <c r="Y41" s="123" t="str">
        <f>BIN2HEX(CONCATENATE(Y40,Z40,AA40,AB40,AC40,AD40,AE40,AF40),2)</f>
        <v>00</v>
      </c>
      <c r="Z41" s="124"/>
      <c r="AA41" s="124"/>
      <c r="AB41" s="124"/>
      <c r="AC41" s="124"/>
      <c r="AD41" s="124"/>
      <c r="AE41" s="124"/>
      <c r="AF41" s="125"/>
      <c r="AG41" s="123" t="str">
        <f>BIN2HEX(CONCATENATE(AG40,AH40,AI40,AJ40,AK40,AL40,AM40,AN40),2)</f>
        <v>00</v>
      </c>
      <c r="AH41" s="124"/>
      <c r="AI41" s="124"/>
      <c r="AJ41" s="124"/>
      <c r="AK41" s="124"/>
      <c r="AL41" s="124"/>
      <c r="AM41" s="124"/>
      <c r="AN41" s="125"/>
      <c r="AO41" s="123" t="str">
        <f>BIN2HEX(CONCATENATE(AO40,AP40,AQ40,AR40,AS40,AT40,AU40,AV40),2)</f>
        <v>00</v>
      </c>
      <c r="AP41" s="124"/>
      <c r="AQ41" s="124"/>
      <c r="AR41" s="124"/>
      <c r="AS41" s="124"/>
      <c r="AT41" s="124"/>
      <c r="AU41" s="124"/>
      <c r="AV41" s="125"/>
      <c r="AW41" s="123" t="str">
        <f>BIN2HEX(CONCATENATE(AW40,AX40,AY40,AZ40,BA40,BB40,BC40,BD40),2)</f>
        <v>00</v>
      </c>
      <c r="AX41" s="124"/>
      <c r="AY41" s="124"/>
      <c r="AZ41" s="124"/>
      <c r="BA41" s="124"/>
      <c r="BB41" s="124"/>
      <c r="BC41" s="124"/>
      <c r="BD41" s="125"/>
      <c r="BE41" s="123" t="str">
        <f>BIN2HEX(CONCATENATE(BE40,BF40,BG40,BH40,BI40,BJ40,BK40,BL40),2)</f>
        <v>00</v>
      </c>
      <c r="BF41" s="124"/>
      <c r="BG41" s="124"/>
      <c r="BH41" s="124"/>
      <c r="BI41" s="124"/>
      <c r="BJ41" s="124"/>
      <c r="BK41" s="124"/>
      <c r="BL41" s="125"/>
      <c r="BM41" s="123" t="str">
        <f>BIN2HEX(CONCATENATE(BM40,BN40,BO40,BP40,BQ40,BR40,BS40,BT40),2)</f>
        <v>00</v>
      </c>
      <c r="BN41" s="124"/>
      <c r="BO41" s="124"/>
      <c r="BP41" s="124"/>
      <c r="BQ41" s="124"/>
      <c r="BR41" s="124"/>
      <c r="BS41" s="124"/>
      <c r="BT41" s="125"/>
      <c r="BU41" s="123" t="str">
        <f>BIN2HEX(CONCATENATE(BU40,BV40,BW40,BX40,BY40,BZ40,CA40,CB40),2)</f>
        <v>00</v>
      </c>
      <c r="BV41" s="124"/>
      <c r="BW41" s="124"/>
      <c r="BX41" s="124"/>
      <c r="BY41" s="124"/>
      <c r="BZ41" s="124"/>
      <c r="CA41" s="124"/>
      <c r="CB41" s="125"/>
      <c r="CC41" s="123" t="str">
        <f>BIN2HEX(CONCATENATE(CC40,CD40,CE40,CF40,CG40,CH40,CI40,CJ40),2)</f>
        <v>00</v>
      </c>
      <c r="CD41" s="124"/>
      <c r="CE41" s="124"/>
      <c r="CF41" s="124"/>
      <c r="CG41" s="124"/>
      <c r="CH41" s="124"/>
      <c r="CI41" s="124"/>
      <c r="CJ41" s="125"/>
    </row>
    <row r="42" spans="1:88">
      <c r="A42" s="135" t="s">
        <v>17</v>
      </c>
      <c r="B42" s="32">
        <v>0</v>
      </c>
      <c r="C42" s="32">
        <v>0</v>
      </c>
      <c r="D42" s="32">
        <v>0</v>
      </c>
      <c r="E42" s="32">
        <v>0</v>
      </c>
      <c r="F42" s="32">
        <v>0</v>
      </c>
      <c r="G42" s="32">
        <v>0</v>
      </c>
      <c r="H42" s="32">
        <v>0</v>
      </c>
      <c r="I42" s="32">
        <v>0</v>
      </c>
      <c r="J42" s="32">
        <v>0</v>
      </c>
      <c r="K42" s="32">
        <v>0</v>
      </c>
      <c r="L42" s="32">
        <v>0</v>
      </c>
      <c r="M42" s="32">
        <v>0</v>
      </c>
      <c r="N42" s="32">
        <v>0</v>
      </c>
      <c r="O42" s="32">
        <v>0</v>
      </c>
      <c r="P42" s="32">
        <v>0</v>
      </c>
      <c r="Q42" s="32">
        <v>0</v>
      </c>
      <c r="R42" s="32">
        <v>0</v>
      </c>
      <c r="S42" s="32">
        <v>0</v>
      </c>
      <c r="T42" s="32">
        <v>0</v>
      </c>
      <c r="U42" s="32">
        <v>0</v>
      </c>
      <c r="V42" s="32">
        <v>0</v>
      </c>
      <c r="W42" s="32">
        <v>0</v>
      </c>
      <c r="X42" s="32">
        <v>0</v>
      </c>
      <c r="Y42" s="32">
        <v>0</v>
      </c>
      <c r="Z42" s="32">
        <v>0</v>
      </c>
      <c r="AA42" s="32">
        <v>0</v>
      </c>
      <c r="AB42" s="32">
        <v>0</v>
      </c>
      <c r="AC42" s="32">
        <v>0</v>
      </c>
      <c r="AD42" s="32">
        <v>0</v>
      </c>
      <c r="AE42" s="32">
        <v>0</v>
      </c>
      <c r="AF42" s="32">
        <v>0</v>
      </c>
      <c r="AG42" s="32">
        <v>0</v>
      </c>
      <c r="AH42" s="32">
        <v>0</v>
      </c>
      <c r="AI42" s="32">
        <v>0</v>
      </c>
      <c r="AJ42" s="32">
        <v>0</v>
      </c>
      <c r="AK42" s="32">
        <v>0</v>
      </c>
      <c r="AL42" s="32">
        <v>0</v>
      </c>
      <c r="AM42" s="32">
        <v>0</v>
      </c>
      <c r="AN42" s="32">
        <v>0</v>
      </c>
      <c r="AO42" s="32">
        <v>0</v>
      </c>
      <c r="AP42" s="32">
        <v>0</v>
      </c>
      <c r="AQ42" s="32">
        <v>0</v>
      </c>
      <c r="AR42" s="32">
        <v>0</v>
      </c>
      <c r="AS42" s="32">
        <v>0</v>
      </c>
      <c r="AT42" s="32">
        <v>0</v>
      </c>
      <c r="AU42" s="32">
        <v>0</v>
      </c>
      <c r="AV42" s="32">
        <v>0</v>
      </c>
      <c r="AW42" s="32">
        <v>0</v>
      </c>
      <c r="AX42" s="32">
        <v>0</v>
      </c>
      <c r="AY42" s="32">
        <v>0</v>
      </c>
      <c r="AZ42" s="32">
        <v>0</v>
      </c>
      <c r="BA42" s="32">
        <v>0</v>
      </c>
      <c r="BB42" s="32">
        <v>0</v>
      </c>
      <c r="BC42" s="32">
        <v>0</v>
      </c>
      <c r="BD42" s="32">
        <v>0</v>
      </c>
      <c r="BE42" s="32">
        <v>0</v>
      </c>
      <c r="BF42" s="32">
        <v>0</v>
      </c>
      <c r="BG42" s="32">
        <v>0</v>
      </c>
      <c r="BH42" s="32">
        <v>0</v>
      </c>
      <c r="BI42" s="32">
        <v>0</v>
      </c>
      <c r="BJ42" s="32">
        <v>0</v>
      </c>
      <c r="BK42" s="32">
        <v>0</v>
      </c>
      <c r="BL42" s="32">
        <v>0</v>
      </c>
      <c r="BM42" s="32">
        <v>0</v>
      </c>
      <c r="BN42" s="32">
        <v>0</v>
      </c>
      <c r="BO42" s="32">
        <v>0</v>
      </c>
      <c r="BP42" s="32">
        <v>0</v>
      </c>
      <c r="BQ42" s="32">
        <v>0</v>
      </c>
      <c r="BR42" s="32">
        <v>0</v>
      </c>
      <c r="BS42" s="32">
        <v>0</v>
      </c>
      <c r="BT42" s="32">
        <v>0</v>
      </c>
      <c r="BU42" s="32">
        <v>0</v>
      </c>
      <c r="BV42" s="32">
        <v>0</v>
      </c>
      <c r="BW42" s="32">
        <v>0</v>
      </c>
      <c r="BX42" s="32">
        <v>0</v>
      </c>
      <c r="BY42" s="32">
        <v>0</v>
      </c>
      <c r="BZ42" s="32">
        <v>0</v>
      </c>
      <c r="CA42" s="32">
        <v>0</v>
      </c>
      <c r="CB42" s="32">
        <v>0</v>
      </c>
      <c r="CC42" s="32">
        <v>0</v>
      </c>
      <c r="CD42" s="32">
        <v>0</v>
      </c>
      <c r="CE42" s="32">
        <v>0</v>
      </c>
      <c r="CF42" s="32">
        <v>0</v>
      </c>
      <c r="CG42" s="32">
        <v>0</v>
      </c>
      <c r="CH42" s="32">
        <v>0</v>
      </c>
      <c r="CI42" s="32">
        <v>0</v>
      </c>
      <c r="CJ42" s="32">
        <v>0</v>
      </c>
    </row>
    <row r="43" spans="1:88" hidden="1">
      <c r="A43" s="136"/>
      <c r="B43" s="39" t="str">
        <f ca="1">DEC2HEX(B42,INDIRECT("'parameters recipe'!$C"&amp;B$27))</f>
        <v>0</v>
      </c>
      <c r="C43" s="39" t="e">
        <f t="shared" ref="C43:L43" ca="1" si="24">DEC2HEX(C42,INDIRECT("'parameters recipe'!$C"&amp;C$27))</f>
        <v>#NUM!</v>
      </c>
      <c r="D43" s="39" t="str">
        <f t="shared" ca="1" si="24"/>
        <v>0</v>
      </c>
      <c r="E43" s="39" t="e">
        <f t="shared" ca="1" si="24"/>
        <v>#NUM!</v>
      </c>
      <c r="F43" s="39" t="str">
        <f t="shared" ca="1" si="24"/>
        <v>0</v>
      </c>
      <c r="G43" s="39" t="e">
        <f t="shared" ca="1" si="24"/>
        <v>#NUM!</v>
      </c>
      <c r="H43" s="39" t="str">
        <f t="shared" ca="1" si="24"/>
        <v>0</v>
      </c>
      <c r="I43" s="39" t="e">
        <f t="shared" ca="1" si="24"/>
        <v>#NUM!</v>
      </c>
      <c r="J43" s="39" t="str">
        <f t="shared" ca="1" si="24"/>
        <v>0</v>
      </c>
      <c r="K43" s="39" t="e">
        <f t="shared" ca="1" si="24"/>
        <v>#NUM!</v>
      </c>
      <c r="L43" s="39" t="str">
        <f t="shared" ca="1" si="24"/>
        <v>0</v>
      </c>
      <c r="M43" s="123" t="str">
        <f>BIN2HEX(CONCATENATE(M42,N42,O42,P42,Q42,R42,S42,T42),2)</f>
        <v>00</v>
      </c>
      <c r="N43" s="124"/>
      <c r="O43" s="124"/>
      <c r="P43" s="124"/>
      <c r="Q43" s="124"/>
      <c r="R43" s="124"/>
      <c r="S43" s="124"/>
      <c r="T43" s="125"/>
      <c r="U43" s="39" t="e">
        <f t="shared" ref="U43:X43" ca="1" si="25">DEC2HEX(U42,INDIRECT("'parameters recipe'!$C"&amp;U$27))</f>
        <v>#NUM!</v>
      </c>
      <c r="V43" s="39" t="e">
        <f t="shared" ca="1" si="25"/>
        <v>#NUM!</v>
      </c>
      <c r="W43" s="39" t="e">
        <f t="shared" ca="1" si="25"/>
        <v>#NUM!</v>
      </c>
      <c r="X43" s="39" t="e">
        <f t="shared" ca="1" si="25"/>
        <v>#NUM!</v>
      </c>
      <c r="Y43" s="123" t="str">
        <f>BIN2HEX(CONCATENATE(Y42,Z42,AA42,AB42,AC42,AD42,AE42,AF42),2)</f>
        <v>00</v>
      </c>
      <c r="Z43" s="124"/>
      <c r="AA43" s="124"/>
      <c r="AB43" s="124"/>
      <c r="AC43" s="124"/>
      <c r="AD43" s="124"/>
      <c r="AE43" s="124"/>
      <c r="AF43" s="125"/>
      <c r="AG43" s="123" t="str">
        <f>BIN2HEX(CONCATENATE(AG42,AH42,AI42,AJ42,AK42,AL42,AM42,AN42),2)</f>
        <v>00</v>
      </c>
      <c r="AH43" s="124"/>
      <c r="AI43" s="124"/>
      <c r="AJ43" s="124"/>
      <c r="AK43" s="124"/>
      <c r="AL43" s="124"/>
      <c r="AM43" s="124"/>
      <c r="AN43" s="125"/>
      <c r="AO43" s="123" t="str">
        <f>BIN2HEX(CONCATENATE(AO42,AP42,AQ42,AR42,AS42,AT42,AU42,AV42),2)</f>
        <v>00</v>
      </c>
      <c r="AP43" s="124"/>
      <c r="AQ43" s="124"/>
      <c r="AR43" s="124"/>
      <c r="AS43" s="124"/>
      <c r="AT43" s="124"/>
      <c r="AU43" s="124"/>
      <c r="AV43" s="125"/>
      <c r="AW43" s="123" t="str">
        <f>BIN2HEX(CONCATENATE(AW42,AX42,AY42,AZ42,BA42,BB42,BC42,BD42),2)</f>
        <v>00</v>
      </c>
      <c r="AX43" s="124"/>
      <c r="AY43" s="124"/>
      <c r="AZ43" s="124"/>
      <c r="BA43" s="124"/>
      <c r="BB43" s="124"/>
      <c r="BC43" s="124"/>
      <c r="BD43" s="125"/>
      <c r="BE43" s="123" t="str">
        <f>BIN2HEX(CONCATENATE(BE42,BF42,BG42,BH42,BI42,BJ42,BK42,BL42),2)</f>
        <v>00</v>
      </c>
      <c r="BF43" s="124"/>
      <c r="BG43" s="124"/>
      <c r="BH43" s="124"/>
      <c r="BI43" s="124"/>
      <c r="BJ43" s="124"/>
      <c r="BK43" s="124"/>
      <c r="BL43" s="125"/>
      <c r="BM43" s="123" t="str">
        <f>BIN2HEX(CONCATENATE(BM42,BN42,BO42,BP42,BQ42,BR42,BS42,BT42),2)</f>
        <v>00</v>
      </c>
      <c r="BN43" s="124"/>
      <c r="BO43" s="124"/>
      <c r="BP43" s="124"/>
      <c r="BQ43" s="124"/>
      <c r="BR43" s="124"/>
      <c r="BS43" s="124"/>
      <c r="BT43" s="125"/>
      <c r="BU43" s="123" t="str">
        <f>BIN2HEX(CONCATENATE(BU42,BV42,BW42,BX42,BY42,BZ42,CA42,CB42),2)</f>
        <v>00</v>
      </c>
      <c r="BV43" s="124"/>
      <c r="BW43" s="124"/>
      <c r="BX43" s="124"/>
      <c r="BY43" s="124"/>
      <c r="BZ43" s="124"/>
      <c r="CA43" s="124"/>
      <c r="CB43" s="125"/>
      <c r="CC43" s="123" t="str">
        <f>BIN2HEX(CONCATENATE(CC42,CD42,CE42,CF42,CG42,CH42,CI42,CJ42),2)</f>
        <v>00</v>
      </c>
      <c r="CD43" s="124"/>
      <c r="CE43" s="124"/>
      <c r="CF43" s="124"/>
      <c r="CG43" s="124"/>
      <c r="CH43" s="124"/>
      <c r="CI43" s="124"/>
      <c r="CJ43" s="125"/>
    </row>
    <row r="44" spans="1:88">
      <c r="A44" s="135" t="s">
        <v>18</v>
      </c>
      <c r="B44" s="32">
        <v>0</v>
      </c>
      <c r="C44" s="32">
        <v>0</v>
      </c>
      <c r="D44" s="32">
        <v>0</v>
      </c>
      <c r="E44" s="32">
        <v>0</v>
      </c>
      <c r="F44" s="32">
        <v>0</v>
      </c>
      <c r="G44" s="32">
        <v>0</v>
      </c>
      <c r="H44" s="32">
        <v>0</v>
      </c>
      <c r="I44" s="32">
        <v>0</v>
      </c>
      <c r="J44" s="32">
        <v>0</v>
      </c>
      <c r="K44" s="32">
        <v>0</v>
      </c>
      <c r="L44" s="32">
        <v>0</v>
      </c>
      <c r="M44" s="32">
        <v>0</v>
      </c>
      <c r="N44" s="32">
        <v>0</v>
      </c>
      <c r="O44" s="32">
        <v>0</v>
      </c>
      <c r="P44" s="32">
        <v>0</v>
      </c>
      <c r="Q44" s="32">
        <v>0</v>
      </c>
      <c r="R44" s="32">
        <v>0</v>
      </c>
      <c r="S44" s="32">
        <v>0</v>
      </c>
      <c r="T44" s="32">
        <v>0</v>
      </c>
      <c r="U44" s="32">
        <v>0</v>
      </c>
      <c r="V44" s="32">
        <v>0</v>
      </c>
      <c r="W44" s="32">
        <v>0</v>
      </c>
      <c r="X44" s="32">
        <v>0</v>
      </c>
      <c r="Y44" s="32">
        <v>0</v>
      </c>
      <c r="Z44" s="32">
        <v>0</v>
      </c>
      <c r="AA44" s="32">
        <v>0</v>
      </c>
      <c r="AB44" s="32">
        <v>0</v>
      </c>
      <c r="AC44" s="32">
        <v>0</v>
      </c>
      <c r="AD44" s="32">
        <v>0</v>
      </c>
      <c r="AE44" s="32">
        <v>0</v>
      </c>
      <c r="AF44" s="32">
        <v>0</v>
      </c>
      <c r="AG44" s="32">
        <v>0</v>
      </c>
      <c r="AH44" s="32">
        <v>0</v>
      </c>
      <c r="AI44" s="32">
        <v>0</v>
      </c>
      <c r="AJ44" s="32">
        <v>0</v>
      </c>
      <c r="AK44" s="32">
        <v>0</v>
      </c>
      <c r="AL44" s="32">
        <v>0</v>
      </c>
      <c r="AM44" s="32">
        <v>0</v>
      </c>
      <c r="AN44" s="32">
        <v>0</v>
      </c>
      <c r="AO44" s="32">
        <v>0</v>
      </c>
      <c r="AP44" s="32">
        <v>0</v>
      </c>
      <c r="AQ44" s="32">
        <v>0</v>
      </c>
      <c r="AR44" s="32">
        <v>0</v>
      </c>
      <c r="AS44" s="32">
        <v>0</v>
      </c>
      <c r="AT44" s="32">
        <v>0</v>
      </c>
      <c r="AU44" s="32">
        <v>0</v>
      </c>
      <c r="AV44" s="32">
        <v>0</v>
      </c>
      <c r="AW44" s="32">
        <v>0</v>
      </c>
      <c r="AX44" s="32">
        <v>0</v>
      </c>
      <c r="AY44" s="32">
        <v>0</v>
      </c>
      <c r="AZ44" s="32">
        <v>0</v>
      </c>
      <c r="BA44" s="32">
        <v>0</v>
      </c>
      <c r="BB44" s="32">
        <v>0</v>
      </c>
      <c r="BC44" s="32">
        <v>0</v>
      </c>
      <c r="BD44" s="32">
        <v>0</v>
      </c>
      <c r="BE44" s="32">
        <v>0</v>
      </c>
      <c r="BF44" s="32">
        <v>0</v>
      </c>
      <c r="BG44" s="32">
        <v>0</v>
      </c>
      <c r="BH44" s="32">
        <v>0</v>
      </c>
      <c r="BI44" s="32">
        <v>0</v>
      </c>
      <c r="BJ44" s="32">
        <v>0</v>
      </c>
      <c r="BK44" s="32">
        <v>0</v>
      </c>
      <c r="BL44" s="32">
        <v>0</v>
      </c>
      <c r="BM44" s="32">
        <v>0</v>
      </c>
      <c r="BN44" s="32">
        <v>0</v>
      </c>
      <c r="BO44" s="32">
        <v>0</v>
      </c>
      <c r="BP44" s="32">
        <v>0</v>
      </c>
      <c r="BQ44" s="32">
        <v>0</v>
      </c>
      <c r="BR44" s="32">
        <v>0</v>
      </c>
      <c r="BS44" s="32">
        <v>0</v>
      </c>
      <c r="BT44" s="32">
        <v>0</v>
      </c>
      <c r="BU44" s="32">
        <v>0</v>
      </c>
      <c r="BV44" s="32">
        <v>0</v>
      </c>
      <c r="BW44" s="32">
        <v>0</v>
      </c>
      <c r="BX44" s="32">
        <v>0</v>
      </c>
      <c r="BY44" s="32">
        <v>0</v>
      </c>
      <c r="BZ44" s="32">
        <v>0</v>
      </c>
      <c r="CA44" s="32">
        <v>0</v>
      </c>
      <c r="CB44" s="32">
        <v>0</v>
      </c>
      <c r="CC44" s="32">
        <v>0</v>
      </c>
      <c r="CD44" s="32">
        <v>0</v>
      </c>
      <c r="CE44" s="32">
        <v>0</v>
      </c>
      <c r="CF44" s="32">
        <v>0</v>
      </c>
      <c r="CG44" s="32">
        <v>0</v>
      </c>
      <c r="CH44" s="32">
        <v>0</v>
      </c>
      <c r="CI44" s="32">
        <v>0</v>
      </c>
      <c r="CJ44" s="32">
        <v>0</v>
      </c>
    </row>
    <row r="45" spans="1:88" hidden="1">
      <c r="A45" s="136"/>
      <c r="B45" s="39" t="str">
        <f ca="1">DEC2HEX(B44,INDIRECT("'parameters recipe'!$C"&amp;B$27))</f>
        <v>0</v>
      </c>
      <c r="C45" s="39" t="e">
        <f t="shared" ref="C45:L45" ca="1" si="26">DEC2HEX(C44,INDIRECT("'parameters recipe'!$C"&amp;C$27))</f>
        <v>#NUM!</v>
      </c>
      <c r="D45" s="39" t="str">
        <f t="shared" ca="1" si="26"/>
        <v>0</v>
      </c>
      <c r="E45" s="39" t="e">
        <f t="shared" ca="1" si="26"/>
        <v>#NUM!</v>
      </c>
      <c r="F45" s="39" t="str">
        <f t="shared" ca="1" si="26"/>
        <v>0</v>
      </c>
      <c r="G45" s="39" t="e">
        <f t="shared" ca="1" si="26"/>
        <v>#NUM!</v>
      </c>
      <c r="H45" s="39" t="str">
        <f t="shared" ca="1" si="26"/>
        <v>0</v>
      </c>
      <c r="I45" s="39" t="e">
        <f t="shared" ca="1" si="26"/>
        <v>#NUM!</v>
      </c>
      <c r="J45" s="39" t="str">
        <f t="shared" ca="1" si="26"/>
        <v>0</v>
      </c>
      <c r="K45" s="39" t="e">
        <f t="shared" ca="1" si="26"/>
        <v>#NUM!</v>
      </c>
      <c r="L45" s="39" t="str">
        <f t="shared" ca="1" si="26"/>
        <v>0</v>
      </c>
      <c r="M45" s="123" t="str">
        <f>BIN2HEX(CONCATENATE(M44,N44,O44,P44,Q44,R44,S44,T44),2)</f>
        <v>00</v>
      </c>
      <c r="N45" s="124"/>
      <c r="O45" s="124"/>
      <c r="P45" s="124"/>
      <c r="Q45" s="124"/>
      <c r="R45" s="124"/>
      <c r="S45" s="124"/>
      <c r="T45" s="125"/>
      <c r="U45" s="39" t="e">
        <f t="shared" ref="U45:X45" ca="1" si="27">DEC2HEX(U44,INDIRECT("'parameters recipe'!$C"&amp;U$27))</f>
        <v>#NUM!</v>
      </c>
      <c r="V45" s="39" t="e">
        <f t="shared" ca="1" si="27"/>
        <v>#NUM!</v>
      </c>
      <c r="W45" s="39" t="e">
        <f t="shared" ca="1" si="27"/>
        <v>#NUM!</v>
      </c>
      <c r="X45" s="39" t="e">
        <f t="shared" ca="1" si="27"/>
        <v>#NUM!</v>
      </c>
      <c r="Y45" s="123" t="str">
        <f>BIN2HEX(CONCATENATE(Y44,Z44,AA44,AB44,AC44,AD44,AE44,AF44),2)</f>
        <v>00</v>
      </c>
      <c r="Z45" s="124"/>
      <c r="AA45" s="124"/>
      <c r="AB45" s="124"/>
      <c r="AC45" s="124"/>
      <c r="AD45" s="124"/>
      <c r="AE45" s="124"/>
      <c r="AF45" s="125"/>
      <c r="AG45" s="123" t="str">
        <f>BIN2HEX(CONCATENATE(AG44,AH44,AI44,AJ44,AK44,AL44,AM44,AN44),2)</f>
        <v>00</v>
      </c>
      <c r="AH45" s="124"/>
      <c r="AI45" s="124"/>
      <c r="AJ45" s="124"/>
      <c r="AK45" s="124"/>
      <c r="AL45" s="124"/>
      <c r="AM45" s="124"/>
      <c r="AN45" s="125"/>
      <c r="AO45" s="123" t="str">
        <f>BIN2HEX(CONCATENATE(AO44,AP44,AQ44,AR44,AS44,AT44,AU44,AV44),2)</f>
        <v>00</v>
      </c>
      <c r="AP45" s="124"/>
      <c r="AQ45" s="124"/>
      <c r="AR45" s="124"/>
      <c r="AS45" s="124"/>
      <c r="AT45" s="124"/>
      <c r="AU45" s="124"/>
      <c r="AV45" s="125"/>
      <c r="AW45" s="123" t="str">
        <f>BIN2HEX(CONCATENATE(AW44,AX44,AY44,AZ44,BA44,BB44,BC44,BD44),2)</f>
        <v>00</v>
      </c>
      <c r="AX45" s="124"/>
      <c r="AY45" s="124"/>
      <c r="AZ45" s="124"/>
      <c r="BA45" s="124"/>
      <c r="BB45" s="124"/>
      <c r="BC45" s="124"/>
      <c r="BD45" s="125"/>
      <c r="BE45" s="123" t="str">
        <f>BIN2HEX(CONCATENATE(BE44,BF44,BG44,BH44,BI44,BJ44,BK44,BL44),2)</f>
        <v>00</v>
      </c>
      <c r="BF45" s="124"/>
      <c r="BG45" s="124"/>
      <c r="BH45" s="124"/>
      <c r="BI45" s="124"/>
      <c r="BJ45" s="124"/>
      <c r="BK45" s="124"/>
      <c r="BL45" s="125"/>
      <c r="BM45" s="123" t="str">
        <f>BIN2HEX(CONCATENATE(BM44,BN44,BO44,BP44,BQ44,BR44,BS44,BT44),2)</f>
        <v>00</v>
      </c>
      <c r="BN45" s="124"/>
      <c r="BO45" s="124"/>
      <c r="BP45" s="124"/>
      <c r="BQ45" s="124"/>
      <c r="BR45" s="124"/>
      <c r="BS45" s="124"/>
      <c r="BT45" s="125"/>
      <c r="BU45" s="123" t="str">
        <f>BIN2HEX(CONCATENATE(BU44,BV44,BW44,BX44,BY44,BZ44,CA44,CB44),2)</f>
        <v>00</v>
      </c>
      <c r="BV45" s="124"/>
      <c r="BW45" s="124"/>
      <c r="BX45" s="124"/>
      <c r="BY45" s="124"/>
      <c r="BZ45" s="124"/>
      <c r="CA45" s="124"/>
      <c r="CB45" s="125"/>
      <c r="CC45" s="123" t="str">
        <f>BIN2HEX(CONCATENATE(CC44,CD44,CE44,CF44,CG44,CH44,CI44,CJ44),2)</f>
        <v>00</v>
      </c>
      <c r="CD45" s="124"/>
      <c r="CE45" s="124"/>
      <c r="CF45" s="124"/>
      <c r="CG45" s="124"/>
      <c r="CH45" s="124"/>
      <c r="CI45" s="124"/>
      <c r="CJ45" s="125"/>
    </row>
    <row r="46" spans="1:88">
      <c r="A46" s="135" t="s">
        <v>19</v>
      </c>
      <c r="B46" s="32">
        <v>0</v>
      </c>
      <c r="C46" s="32">
        <v>0</v>
      </c>
      <c r="D46" s="32">
        <v>0</v>
      </c>
      <c r="E46" s="32">
        <v>0</v>
      </c>
      <c r="F46" s="32">
        <v>0</v>
      </c>
      <c r="G46" s="32">
        <v>0</v>
      </c>
      <c r="H46" s="32">
        <v>0</v>
      </c>
      <c r="I46" s="32">
        <v>0</v>
      </c>
      <c r="J46" s="32">
        <v>0</v>
      </c>
      <c r="K46" s="32">
        <v>0</v>
      </c>
      <c r="L46" s="32">
        <v>0</v>
      </c>
      <c r="M46" s="32">
        <v>0</v>
      </c>
      <c r="N46" s="32">
        <v>0</v>
      </c>
      <c r="O46" s="32">
        <v>0</v>
      </c>
      <c r="P46" s="32">
        <v>0</v>
      </c>
      <c r="Q46" s="32">
        <v>0</v>
      </c>
      <c r="R46" s="32">
        <v>0</v>
      </c>
      <c r="S46" s="32">
        <v>0</v>
      </c>
      <c r="T46" s="32">
        <v>0</v>
      </c>
      <c r="U46" s="32">
        <v>0</v>
      </c>
      <c r="V46" s="32">
        <v>0</v>
      </c>
      <c r="W46" s="32">
        <v>0</v>
      </c>
      <c r="X46" s="32">
        <v>0</v>
      </c>
      <c r="Y46" s="32">
        <v>0</v>
      </c>
      <c r="Z46" s="32">
        <v>0</v>
      </c>
      <c r="AA46" s="32">
        <v>0</v>
      </c>
      <c r="AB46" s="32">
        <v>0</v>
      </c>
      <c r="AC46" s="32">
        <v>0</v>
      </c>
      <c r="AD46" s="32">
        <v>0</v>
      </c>
      <c r="AE46" s="32">
        <v>0</v>
      </c>
      <c r="AF46" s="32">
        <v>0</v>
      </c>
      <c r="AG46" s="32">
        <v>0</v>
      </c>
      <c r="AH46" s="32">
        <v>0</v>
      </c>
      <c r="AI46" s="32">
        <v>0</v>
      </c>
      <c r="AJ46" s="32">
        <v>0</v>
      </c>
      <c r="AK46" s="32">
        <v>0</v>
      </c>
      <c r="AL46" s="32">
        <v>0</v>
      </c>
      <c r="AM46" s="32">
        <v>0</v>
      </c>
      <c r="AN46" s="32">
        <v>0</v>
      </c>
      <c r="AO46" s="32">
        <v>0</v>
      </c>
      <c r="AP46" s="32">
        <v>0</v>
      </c>
      <c r="AQ46" s="32">
        <v>0</v>
      </c>
      <c r="AR46" s="32">
        <v>0</v>
      </c>
      <c r="AS46" s="32">
        <v>0</v>
      </c>
      <c r="AT46" s="32">
        <v>0</v>
      </c>
      <c r="AU46" s="32">
        <v>0</v>
      </c>
      <c r="AV46" s="32">
        <v>0</v>
      </c>
      <c r="AW46" s="32">
        <v>0</v>
      </c>
      <c r="AX46" s="32">
        <v>0</v>
      </c>
      <c r="AY46" s="32">
        <v>0</v>
      </c>
      <c r="AZ46" s="32">
        <v>0</v>
      </c>
      <c r="BA46" s="32">
        <v>0</v>
      </c>
      <c r="BB46" s="32">
        <v>0</v>
      </c>
      <c r="BC46" s="32">
        <v>0</v>
      </c>
      <c r="BD46" s="32">
        <v>0</v>
      </c>
      <c r="BE46" s="32">
        <v>0</v>
      </c>
      <c r="BF46" s="32">
        <v>0</v>
      </c>
      <c r="BG46" s="32">
        <v>0</v>
      </c>
      <c r="BH46" s="32">
        <v>0</v>
      </c>
      <c r="BI46" s="32">
        <v>0</v>
      </c>
      <c r="BJ46" s="32">
        <v>0</v>
      </c>
      <c r="BK46" s="32">
        <v>0</v>
      </c>
      <c r="BL46" s="32">
        <v>0</v>
      </c>
      <c r="BM46" s="32">
        <v>0</v>
      </c>
      <c r="BN46" s="32">
        <v>0</v>
      </c>
      <c r="BO46" s="32">
        <v>0</v>
      </c>
      <c r="BP46" s="32">
        <v>0</v>
      </c>
      <c r="BQ46" s="32">
        <v>0</v>
      </c>
      <c r="BR46" s="32">
        <v>0</v>
      </c>
      <c r="BS46" s="32">
        <v>0</v>
      </c>
      <c r="BT46" s="32">
        <v>0</v>
      </c>
      <c r="BU46" s="32">
        <v>0</v>
      </c>
      <c r="BV46" s="32">
        <v>0</v>
      </c>
      <c r="BW46" s="32">
        <v>0</v>
      </c>
      <c r="BX46" s="32">
        <v>0</v>
      </c>
      <c r="BY46" s="32">
        <v>0</v>
      </c>
      <c r="BZ46" s="32">
        <v>0</v>
      </c>
      <c r="CA46" s="32">
        <v>0</v>
      </c>
      <c r="CB46" s="32">
        <v>0</v>
      </c>
      <c r="CC46" s="32">
        <v>0</v>
      </c>
      <c r="CD46" s="32">
        <v>0</v>
      </c>
      <c r="CE46" s="32">
        <v>0</v>
      </c>
      <c r="CF46" s="32">
        <v>0</v>
      </c>
      <c r="CG46" s="32">
        <v>0</v>
      </c>
      <c r="CH46" s="32">
        <v>0</v>
      </c>
      <c r="CI46" s="32">
        <v>0</v>
      </c>
      <c r="CJ46" s="32">
        <v>0</v>
      </c>
    </row>
    <row r="47" spans="1:88" hidden="1">
      <c r="A47" s="136"/>
      <c r="B47" s="39" t="str">
        <f ca="1">DEC2HEX(B46,INDIRECT("'parameters recipe'!$C"&amp;B$27))</f>
        <v>0</v>
      </c>
      <c r="C47" s="39" t="e">
        <f t="shared" ref="C47:L47" ca="1" si="28">DEC2HEX(C46,INDIRECT("'parameters recipe'!$C"&amp;C$27))</f>
        <v>#NUM!</v>
      </c>
      <c r="D47" s="39" t="str">
        <f t="shared" ca="1" si="28"/>
        <v>0</v>
      </c>
      <c r="E47" s="39" t="e">
        <f t="shared" ca="1" si="28"/>
        <v>#NUM!</v>
      </c>
      <c r="F47" s="39" t="str">
        <f t="shared" ca="1" si="28"/>
        <v>0</v>
      </c>
      <c r="G47" s="39" t="e">
        <f t="shared" ca="1" si="28"/>
        <v>#NUM!</v>
      </c>
      <c r="H47" s="39" t="str">
        <f t="shared" ca="1" si="28"/>
        <v>0</v>
      </c>
      <c r="I47" s="39" t="e">
        <f t="shared" ca="1" si="28"/>
        <v>#NUM!</v>
      </c>
      <c r="J47" s="39" t="str">
        <f t="shared" ca="1" si="28"/>
        <v>0</v>
      </c>
      <c r="K47" s="39" t="e">
        <f t="shared" ca="1" si="28"/>
        <v>#NUM!</v>
      </c>
      <c r="L47" s="39" t="str">
        <f t="shared" ca="1" si="28"/>
        <v>0</v>
      </c>
      <c r="M47" s="123" t="str">
        <f>BIN2HEX(CONCATENATE(M46,N46,O46,P46,Q46,R46,S46,T46),2)</f>
        <v>00</v>
      </c>
      <c r="N47" s="124"/>
      <c r="O47" s="124"/>
      <c r="P47" s="124"/>
      <c r="Q47" s="124"/>
      <c r="R47" s="124"/>
      <c r="S47" s="124"/>
      <c r="T47" s="125"/>
      <c r="U47" s="39" t="e">
        <f t="shared" ref="U47:X47" ca="1" si="29">DEC2HEX(U46,INDIRECT("'parameters recipe'!$C"&amp;U$27))</f>
        <v>#NUM!</v>
      </c>
      <c r="V47" s="39" t="e">
        <f t="shared" ca="1" si="29"/>
        <v>#NUM!</v>
      </c>
      <c r="W47" s="39" t="e">
        <f t="shared" ca="1" si="29"/>
        <v>#NUM!</v>
      </c>
      <c r="X47" s="39" t="e">
        <f t="shared" ca="1" si="29"/>
        <v>#NUM!</v>
      </c>
      <c r="Y47" s="123" t="str">
        <f>BIN2HEX(CONCATENATE(Y46,Z46,AA46,AB46,AC46,AD46,AE46,AF46),2)</f>
        <v>00</v>
      </c>
      <c r="Z47" s="124"/>
      <c r="AA47" s="124"/>
      <c r="AB47" s="124"/>
      <c r="AC47" s="124"/>
      <c r="AD47" s="124"/>
      <c r="AE47" s="124"/>
      <c r="AF47" s="125"/>
      <c r="AG47" s="123" t="str">
        <f>BIN2HEX(CONCATENATE(AG46,AH46,AI46,AJ46,AK46,AL46,AM46,AN46),2)</f>
        <v>00</v>
      </c>
      <c r="AH47" s="124"/>
      <c r="AI47" s="124"/>
      <c r="AJ47" s="124"/>
      <c r="AK47" s="124"/>
      <c r="AL47" s="124"/>
      <c r="AM47" s="124"/>
      <c r="AN47" s="125"/>
      <c r="AO47" s="123" t="str">
        <f>BIN2HEX(CONCATENATE(AO46,AP46,AQ46,AR46,AS46,AT46,AU46,AV46),2)</f>
        <v>00</v>
      </c>
      <c r="AP47" s="124"/>
      <c r="AQ47" s="124"/>
      <c r="AR47" s="124"/>
      <c r="AS47" s="124"/>
      <c r="AT47" s="124"/>
      <c r="AU47" s="124"/>
      <c r="AV47" s="125"/>
      <c r="AW47" s="123" t="str">
        <f>BIN2HEX(CONCATENATE(AW46,AX46,AY46,AZ46,BA46,BB46,BC46,BD46),2)</f>
        <v>00</v>
      </c>
      <c r="AX47" s="124"/>
      <c r="AY47" s="124"/>
      <c r="AZ47" s="124"/>
      <c r="BA47" s="124"/>
      <c r="BB47" s="124"/>
      <c r="BC47" s="124"/>
      <c r="BD47" s="125"/>
      <c r="BE47" s="123" t="str">
        <f>BIN2HEX(CONCATENATE(BE46,BF46,BG46,BH46,BI46,BJ46,BK46,BL46),2)</f>
        <v>00</v>
      </c>
      <c r="BF47" s="124"/>
      <c r="BG47" s="124"/>
      <c r="BH47" s="124"/>
      <c r="BI47" s="124"/>
      <c r="BJ47" s="124"/>
      <c r="BK47" s="124"/>
      <c r="BL47" s="125"/>
      <c r="BM47" s="123" t="str">
        <f>BIN2HEX(CONCATENATE(BM46,BN46,BO46,BP46,BQ46,BR46,BS46,BT46),2)</f>
        <v>00</v>
      </c>
      <c r="BN47" s="124"/>
      <c r="BO47" s="124"/>
      <c r="BP47" s="124"/>
      <c r="BQ47" s="124"/>
      <c r="BR47" s="124"/>
      <c r="BS47" s="124"/>
      <c r="BT47" s="125"/>
      <c r="BU47" s="123" t="str">
        <f>BIN2HEX(CONCATENATE(BU46,BV46,BW46,BX46,BY46,BZ46,CA46,CB46),2)</f>
        <v>00</v>
      </c>
      <c r="BV47" s="124"/>
      <c r="BW47" s="124"/>
      <c r="BX47" s="124"/>
      <c r="BY47" s="124"/>
      <c r="BZ47" s="124"/>
      <c r="CA47" s="124"/>
      <c r="CB47" s="125"/>
      <c r="CC47" s="123" t="str">
        <f>BIN2HEX(CONCATENATE(CC46,CD46,CE46,CF46,CG46,CH46,CI46,CJ46),2)</f>
        <v>00</v>
      </c>
      <c r="CD47" s="124"/>
      <c r="CE47" s="124"/>
      <c r="CF47" s="124"/>
      <c r="CG47" s="124"/>
      <c r="CH47" s="124"/>
      <c r="CI47" s="124"/>
      <c r="CJ47" s="125"/>
    </row>
    <row r="48" spans="1:88">
      <c r="A48" s="135" t="s">
        <v>20</v>
      </c>
      <c r="B48" s="32">
        <v>0</v>
      </c>
      <c r="C48" s="32">
        <v>0</v>
      </c>
      <c r="D48" s="32">
        <v>0</v>
      </c>
      <c r="E48" s="32">
        <v>0</v>
      </c>
      <c r="F48" s="32">
        <v>0</v>
      </c>
      <c r="G48" s="32">
        <v>0</v>
      </c>
      <c r="H48" s="32">
        <v>0</v>
      </c>
      <c r="I48" s="32">
        <v>0</v>
      </c>
      <c r="J48" s="32">
        <v>0</v>
      </c>
      <c r="K48" s="32">
        <v>0</v>
      </c>
      <c r="L48" s="32">
        <v>0</v>
      </c>
      <c r="M48" s="32">
        <v>0</v>
      </c>
      <c r="N48" s="32">
        <v>0</v>
      </c>
      <c r="O48" s="32">
        <v>0</v>
      </c>
      <c r="P48" s="32">
        <v>0</v>
      </c>
      <c r="Q48" s="32">
        <v>0</v>
      </c>
      <c r="R48" s="32">
        <v>0</v>
      </c>
      <c r="S48" s="32">
        <v>0</v>
      </c>
      <c r="T48" s="32">
        <v>0</v>
      </c>
      <c r="U48" s="32">
        <v>0</v>
      </c>
      <c r="V48" s="32">
        <v>0</v>
      </c>
      <c r="W48" s="32">
        <v>0</v>
      </c>
      <c r="X48" s="32">
        <v>0</v>
      </c>
      <c r="Y48" s="32">
        <v>0</v>
      </c>
      <c r="Z48" s="32">
        <v>0</v>
      </c>
      <c r="AA48" s="32">
        <v>0</v>
      </c>
      <c r="AB48" s="32">
        <v>0</v>
      </c>
      <c r="AC48" s="32">
        <v>0</v>
      </c>
      <c r="AD48" s="32">
        <v>0</v>
      </c>
      <c r="AE48" s="32">
        <v>0</v>
      </c>
      <c r="AF48" s="32">
        <v>0</v>
      </c>
      <c r="AG48" s="32">
        <v>0</v>
      </c>
      <c r="AH48" s="32">
        <v>0</v>
      </c>
      <c r="AI48" s="32">
        <v>0</v>
      </c>
      <c r="AJ48" s="32">
        <v>0</v>
      </c>
      <c r="AK48" s="32">
        <v>0</v>
      </c>
      <c r="AL48" s="32">
        <v>0</v>
      </c>
      <c r="AM48" s="32">
        <v>0</v>
      </c>
      <c r="AN48" s="32">
        <v>0</v>
      </c>
      <c r="AO48" s="32">
        <v>0</v>
      </c>
      <c r="AP48" s="32">
        <v>0</v>
      </c>
      <c r="AQ48" s="32">
        <v>0</v>
      </c>
      <c r="AR48" s="32">
        <v>0</v>
      </c>
      <c r="AS48" s="32">
        <v>0</v>
      </c>
      <c r="AT48" s="32">
        <v>0</v>
      </c>
      <c r="AU48" s="32">
        <v>0</v>
      </c>
      <c r="AV48" s="32">
        <v>0</v>
      </c>
      <c r="AW48" s="32">
        <v>0</v>
      </c>
      <c r="AX48" s="32">
        <v>0</v>
      </c>
      <c r="AY48" s="32">
        <v>0</v>
      </c>
      <c r="AZ48" s="32">
        <v>0</v>
      </c>
      <c r="BA48" s="32">
        <v>0</v>
      </c>
      <c r="BB48" s="32">
        <v>0</v>
      </c>
      <c r="BC48" s="32">
        <v>0</v>
      </c>
      <c r="BD48" s="32">
        <v>0</v>
      </c>
      <c r="BE48" s="32">
        <v>0</v>
      </c>
      <c r="BF48" s="32">
        <v>0</v>
      </c>
      <c r="BG48" s="32">
        <v>0</v>
      </c>
      <c r="BH48" s="32">
        <v>0</v>
      </c>
      <c r="BI48" s="32">
        <v>0</v>
      </c>
      <c r="BJ48" s="32">
        <v>0</v>
      </c>
      <c r="BK48" s="32">
        <v>0</v>
      </c>
      <c r="BL48" s="32">
        <v>0</v>
      </c>
      <c r="BM48" s="32">
        <v>0</v>
      </c>
      <c r="BN48" s="32">
        <v>0</v>
      </c>
      <c r="BO48" s="32">
        <v>0</v>
      </c>
      <c r="BP48" s="32">
        <v>0</v>
      </c>
      <c r="BQ48" s="32">
        <v>0</v>
      </c>
      <c r="BR48" s="32">
        <v>0</v>
      </c>
      <c r="BS48" s="32">
        <v>0</v>
      </c>
      <c r="BT48" s="32">
        <v>0</v>
      </c>
      <c r="BU48" s="32">
        <v>0</v>
      </c>
      <c r="BV48" s="32">
        <v>0</v>
      </c>
      <c r="BW48" s="32">
        <v>0</v>
      </c>
      <c r="BX48" s="32">
        <v>0</v>
      </c>
      <c r="BY48" s="32">
        <v>0</v>
      </c>
      <c r="BZ48" s="32">
        <v>0</v>
      </c>
      <c r="CA48" s="32">
        <v>0</v>
      </c>
      <c r="CB48" s="32">
        <v>0</v>
      </c>
      <c r="CC48" s="32">
        <v>0</v>
      </c>
      <c r="CD48" s="32">
        <v>0</v>
      </c>
      <c r="CE48" s="32">
        <v>0</v>
      </c>
      <c r="CF48" s="32">
        <v>0</v>
      </c>
      <c r="CG48" s="32">
        <v>0</v>
      </c>
      <c r="CH48" s="32">
        <v>0</v>
      </c>
      <c r="CI48" s="32">
        <v>0</v>
      </c>
      <c r="CJ48" s="32">
        <v>0</v>
      </c>
    </row>
    <row r="49" spans="1:117" hidden="1">
      <c r="A49" s="136"/>
      <c r="B49" s="39" t="str">
        <f ca="1">DEC2HEX(B48,INDIRECT("'parameters recipe'!$C"&amp;B$27))</f>
        <v>0</v>
      </c>
      <c r="C49" s="39" t="e">
        <f t="shared" ref="C49:L49" ca="1" si="30">DEC2HEX(C48,INDIRECT("'parameters recipe'!$C"&amp;C$27))</f>
        <v>#NUM!</v>
      </c>
      <c r="D49" s="39" t="str">
        <f t="shared" ca="1" si="30"/>
        <v>0</v>
      </c>
      <c r="E49" s="39" t="e">
        <f t="shared" ca="1" si="30"/>
        <v>#NUM!</v>
      </c>
      <c r="F49" s="39" t="str">
        <f t="shared" ca="1" si="30"/>
        <v>0</v>
      </c>
      <c r="G49" s="39" t="e">
        <f t="shared" ca="1" si="30"/>
        <v>#NUM!</v>
      </c>
      <c r="H49" s="39" t="str">
        <f t="shared" ca="1" si="30"/>
        <v>0</v>
      </c>
      <c r="I49" s="39" t="e">
        <f t="shared" ca="1" si="30"/>
        <v>#NUM!</v>
      </c>
      <c r="J49" s="39" t="str">
        <f t="shared" ca="1" si="30"/>
        <v>0</v>
      </c>
      <c r="K49" s="39" t="e">
        <f t="shared" ca="1" si="30"/>
        <v>#NUM!</v>
      </c>
      <c r="L49" s="39" t="str">
        <f t="shared" ca="1" si="30"/>
        <v>0</v>
      </c>
      <c r="M49" s="123" t="str">
        <f>BIN2HEX(CONCATENATE(M48,N48,O48,P48,Q48,R48,S48,T48),2)</f>
        <v>00</v>
      </c>
      <c r="N49" s="124"/>
      <c r="O49" s="124"/>
      <c r="P49" s="124"/>
      <c r="Q49" s="124"/>
      <c r="R49" s="124"/>
      <c r="S49" s="124"/>
      <c r="T49" s="125"/>
      <c r="U49" s="39" t="e">
        <f t="shared" ref="U49:X49" ca="1" si="31">DEC2HEX(U48,INDIRECT("'parameters recipe'!$C"&amp;U$27))</f>
        <v>#NUM!</v>
      </c>
      <c r="V49" s="39" t="e">
        <f t="shared" ca="1" si="31"/>
        <v>#NUM!</v>
      </c>
      <c r="W49" s="39" t="e">
        <f t="shared" ca="1" si="31"/>
        <v>#NUM!</v>
      </c>
      <c r="X49" s="39" t="e">
        <f t="shared" ca="1" si="31"/>
        <v>#NUM!</v>
      </c>
      <c r="Y49" s="123" t="str">
        <f>BIN2HEX(CONCATENATE(Y48,Z48,AA48,AB48,AC48,AD48,AE48,AF48),2)</f>
        <v>00</v>
      </c>
      <c r="Z49" s="124"/>
      <c r="AA49" s="124"/>
      <c r="AB49" s="124"/>
      <c r="AC49" s="124"/>
      <c r="AD49" s="124"/>
      <c r="AE49" s="124"/>
      <c r="AF49" s="125"/>
      <c r="AG49" s="123" t="str">
        <f>BIN2HEX(CONCATENATE(AG48,AH48,AI48,AJ48,AK48,AL48,AM48,AN48),2)</f>
        <v>00</v>
      </c>
      <c r="AH49" s="124"/>
      <c r="AI49" s="124"/>
      <c r="AJ49" s="124"/>
      <c r="AK49" s="124"/>
      <c r="AL49" s="124"/>
      <c r="AM49" s="124"/>
      <c r="AN49" s="125"/>
      <c r="AO49" s="123" t="str">
        <f>BIN2HEX(CONCATENATE(AO48,AP48,AQ48,AR48,AS48,AT48,AU48,AV48),2)</f>
        <v>00</v>
      </c>
      <c r="AP49" s="124"/>
      <c r="AQ49" s="124"/>
      <c r="AR49" s="124"/>
      <c r="AS49" s="124"/>
      <c r="AT49" s="124"/>
      <c r="AU49" s="124"/>
      <c r="AV49" s="125"/>
      <c r="AW49" s="123" t="str">
        <f>BIN2HEX(CONCATENATE(AW48,AX48,AY48,AZ48,BA48,BB48,BC48,BD48),2)</f>
        <v>00</v>
      </c>
      <c r="AX49" s="124"/>
      <c r="AY49" s="124"/>
      <c r="AZ49" s="124"/>
      <c r="BA49" s="124"/>
      <c r="BB49" s="124"/>
      <c r="BC49" s="124"/>
      <c r="BD49" s="125"/>
      <c r="BE49" s="123" t="str">
        <f>BIN2HEX(CONCATENATE(BE48,BF48,BG48,BH48,BI48,BJ48,BK48,BL48),2)</f>
        <v>00</v>
      </c>
      <c r="BF49" s="124"/>
      <c r="BG49" s="124"/>
      <c r="BH49" s="124"/>
      <c r="BI49" s="124"/>
      <c r="BJ49" s="124"/>
      <c r="BK49" s="124"/>
      <c r="BL49" s="125"/>
      <c r="BM49" s="123" t="str">
        <f>BIN2HEX(CONCATENATE(BM48,BN48,BO48,BP48,BQ48,BR48,BS48,BT48),2)</f>
        <v>00</v>
      </c>
      <c r="BN49" s="124"/>
      <c r="BO49" s="124"/>
      <c r="BP49" s="124"/>
      <c r="BQ49" s="124"/>
      <c r="BR49" s="124"/>
      <c r="BS49" s="124"/>
      <c r="BT49" s="125"/>
      <c r="BU49" s="123" t="str">
        <f>BIN2HEX(CONCATENATE(BU48,BV48,BW48,BX48,BY48,BZ48,CA48,CB48),2)</f>
        <v>00</v>
      </c>
      <c r="BV49" s="124"/>
      <c r="BW49" s="124"/>
      <c r="BX49" s="124"/>
      <c r="BY49" s="124"/>
      <c r="BZ49" s="124"/>
      <c r="CA49" s="124"/>
      <c r="CB49" s="125"/>
      <c r="CC49" s="123" t="str">
        <f>BIN2HEX(CONCATENATE(CC48,CD48,CE48,CF48,CG48,CH48,CI48,CJ48),2)</f>
        <v>00</v>
      </c>
      <c r="CD49" s="124"/>
      <c r="CE49" s="124"/>
      <c r="CF49" s="124"/>
      <c r="CG49" s="124"/>
      <c r="CH49" s="124"/>
      <c r="CI49" s="124"/>
      <c r="CJ49" s="125"/>
    </row>
    <row r="50" spans="1:117">
      <c r="A50" s="135" t="s">
        <v>22</v>
      </c>
      <c r="B50" s="32">
        <v>0</v>
      </c>
      <c r="C50" s="32">
        <v>0</v>
      </c>
      <c r="D50" s="32">
        <v>0</v>
      </c>
      <c r="E50" s="32">
        <v>0</v>
      </c>
      <c r="F50" s="32">
        <v>0</v>
      </c>
      <c r="G50" s="32">
        <v>0</v>
      </c>
      <c r="H50" s="32">
        <v>0</v>
      </c>
      <c r="I50" s="32">
        <v>0</v>
      </c>
      <c r="J50" s="32">
        <v>0</v>
      </c>
      <c r="K50" s="32">
        <v>0</v>
      </c>
      <c r="L50" s="32">
        <v>0</v>
      </c>
      <c r="M50" s="32">
        <v>0</v>
      </c>
      <c r="N50" s="32">
        <v>0</v>
      </c>
      <c r="O50" s="32">
        <v>0</v>
      </c>
      <c r="P50" s="32">
        <v>0</v>
      </c>
      <c r="Q50" s="32">
        <v>0</v>
      </c>
      <c r="R50" s="32">
        <v>0</v>
      </c>
      <c r="S50" s="32">
        <v>0</v>
      </c>
      <c r="T50" s="32">
        <v>0</v>
      </c>
      <c r="U50" s="32">
        <v>0</v>
      </c>
      <c r="V50" s="32">
        <v>0</v>
      </c>
      <c r="W50" s="32">
        <v>0</v>
      </c>
      <c r="X50" s="32">
        <v>0</v>
      </c>
      <c r="Y50" s="32">
        <v>0</v>
      </c>
      <c r="Z50" s="32">
        <v>0</v>
      </c>
      <c r="AA50" s="32">
        <v>0</v>
      </c>
      <c r="AB50" s="32">
        <v>0</v>
      </c>
      <c r="AC50" s="32">
        <v>0</v>
      </c>
      <c r="AD50" s="32">
        <v>0</v>
      </c>
      <c r="AE50" s="32">
        <v>0</v>
      </c>
      <c r="AF50" s="32">
        <v>0</v>
      </c>
      <c r="AG50" s="32">
        <v>0</v>
      </c>
      <c r="AH50" s="32">
        <v>0</v>
      </c>
      <c r="AI50" s="32">
        <v>0</v>
      </c>
      <c r="AJ50" s="32">
        <v>0</v>
      </c>
      <c r="AK50" s="32">
        <v>0</v>
      </c>
      <c r="AL50" s="32">
        <v>0</v>
      </c>
      <c r="AM50" s="32">
        <v>0</v>
      </c>
      <c r="AN50" s="32">
        <v>0</v>
      </c>
      <c r="AO50" s="32">
        <v>0</v>
      </c>
      <c r="AP50" s="32">
        <v>0</v>
      </c>
      <c r="AQ50" s="32">
        <v>0</v>
      </c>
      <c r="AR50" s="32">
        <v>0</v>
      </c>
      <c r="AS50" s="32">
        <v>0</v>
      </c>
      <c r="AT50" s="32">
        <v>0</v>
      </c>
      <c r="AU50" s="32">
        <v>0</v>
      </c>
      <c r="AV50" s="32">
        <v>0</v>
      </c>
      <c r="AW50" s="32">
        <v>0</v>
      </c>
      <c r="AX50" s="32">
        <v>0</v>
      </c>
      <c r="AY50" s="32">
        <v>0</v>
      </c>
      <c r="AZ50" s="32">
        <v>0</v>
      </c>
      <c r="BA50" s="32">
        <v>0</v>
      </c>
      <c r="BB50" s="32">
        <v>0</v>
      </c>
      <c r="BC50" s="32">
        <v>0</v>
      </c>
      <c r="BD50" s="32">
        <v>0</v>
      </c>
      <c r="BE50" s="32">
        <v>0</v>
      </c>
      <c r="BF50" s="32">
        <v>0</v>
      </c>
      <c r="BG50" s="32">
        <v>0</v>
      </c>
      <c r="BH50" s="32">
        <v>0</v>
      </c>
      <c r="BI50" s="32">
        <v>0</v>
      </c>
      <c r="BJ50" s="32">
        <v>0</v>
      </c>
      <c r="BK50" s="32">
        <v>0</v>
      </c>
      <c r="BL50" s="32">
        <v>0</v>
      </c>
      <c r="BM50" s="32">
        <v>0</v>
      </c>
      <c r="BN50" s="32">
        <v>0</v>
      </c>
      <c r="BO50" s="32">
        <v>0</v>
      </c>
      <c r="BP50" s="32">
        <v>0</v>
      </c>
      <c r="BQ50" s="32">
        <v>0</v>
      </c>
      <c r="BR50" s="32">
        <v>0</v>
      </c>
      <c r="BS50" s="32">
        <v>0</v>
      </c>
      <c r="BT50" s="32">
        <v>0</v>
      </c>
      <c r="BU50" s="32">
        <v>0</v>
      </c>
      <c r="BV50" s="32">
        <v>0</v>
      </c>
      <c r="BW50" s="32">
        <v>0</v>
      </c>
      <c r="BX50" s="32">
        <v>0</v>
      </c>
      <c r="BY50" s="32">
        <v>0</v>
      </c>
      <c r="BZ50" s="32">
        <v>0</v>
      </c>
      <c r="CA50" s="32">
        <v>0</v>
      </c>
      <c r="CB50" s="32">
        <v>0</v>
      </c>
      <c r="CC50" s="32">
        <v>0</v>
      </c>
      <c r="CD50" s="32">
        <v>0</v>
      </c>
      <c r="CE50" s="32">
        <v>0</v>
      </c>
      <c r="CF50" s="32">
        <v>0</v>
      </c>
      <c r="CG50" s="32">
        <v>0</v>
      </c>
      <c r="CH50" s="32">
        <v>0</v>
      </c>
      <c r="CI50" s="32">
        <v>0</v>
      </c>
      <c r="CJ50" s="32">
        <v>0</v>
      </c>
    </row>
    <row r="51" spans="1:117" hidden="1">
      <c r="A51" s="136"/>
      <c r="B51" s="39" t="str">
        <f ca="1">DEC2HEX(B50,INDIRECT("'parameters recipe'!$C"&amp;B$27))</f>
        <v>0</v>
      </c>
      <c r="C51" s="39" t="e">
        <f t="shared" ref="C51:L51" ca="1" si="32">DEC2HEX(C50,INDIRECT("'parameters recipe'!$C"&amp;C$27))</f>
        <v>#NUM!</v>
      </c>
      <c r="D51" s="39" t="str">
        <f t="shared" ca="1" si="32"/>
        <v>0</v>
      </c>
      <c r="E51" s="39" t="e">
        <f t="shared" ca="1" si="32"/>
        <v>#NUM!</v>
      </c>
      <c r="F51" s="39" t="str">
        <f t="shared" ca="1" si="32"/>
        <v>0</v>
      </c>
      <c r="G51" s="39" t="e">
        <f t="shared" ca="1" si="32"/>
        <v>#NUM!</v>
      </c>
      <c r="H51" s="39" t="str">
        <f t="shared" ca="1" si="32"/>
        <v>0</v>
      </c>
      <c r="I51" s="39" t="e">
        <f t="shared" ca="1" si="32"/>
        <v>#NUM!</v>
      </c>
      <c r="J51" s="39" t="str">
        <f t="shared" ca="1" si="32"/>
        <v>0</v>
      </c>
      <c r="K51" s="39" t="e">
        <f t="shared" ca="1" si="32"/>
        <v>#NUM!</v>
      </c>
      <c r="L51" s="39" t="str">
        <f t="shared" ca="1" si="32"/>
        <v>0</v>
      </c>
      <c r="M51" s="123" t="str">
        <f>BIN2HEX(CONCATENATE(M50,N50,O50,P50,Q50,R50,S50,T50),2)</f>
        <v>00</v>
      </c>
      <c r="N51" s="124"/>
      <c r="O51" s="124"/>
      <c r="P51" s="124"/>
      <c r="Q51" s="124"/>
      <c r="R51" s="124"/>
      <c r="S51" s="124"/>
      <c r="T51" s="125"/>
      <c r="U51" s="39" t="e">
        <f t="shared" ref="U51:X51" ca="1" si="33">DEC2HEX(U50,INDIRECT("'parameters recipe'!$C"&amp;U$27))</f>
        <v>#NUM!</v>
      </c>
      <c r="V51" s="39" t="e">
        <f t="shared" ca="1" si="33"/>
        <v>#NUM!</v>
      </c>
      <c r="W51" s="39" t="e">
        <f t="shared" ca="1" si="33"/>
        <v>#NUM!</v>
      </c>
      <c r="X51" s="39" t="e">
        <f t="shared" ca="1" si="33"/>
        <v>#NUM!</v>
      </c>
      <c r="Y51" s="123" t="str">
        <f>BIN2HEX(CONCATENATE(Y50,Z50,AA50,AB50,AC50,AD50,AE50,AF50),2)</f>
        <v>00</v>
      </c>
      <c r="Z51" s="124"/>
      <c r="AA51" s="124"/>
      <c r="AB51" s="124"/>
      <c r="AC51" s="124"/>
      <c r="AD51" s="124"/>
      <c r="AE51" s="124"/>
      <c r="AF51" s="125"/>
      <c r="AG51" s="123" t="str">
        <f>BIN2HEX(CONCATENATE(AG50,AH50,AI50,AJ50,AK50,AL50,AM50,AN50),2)</f>
        <v>00</v>
      </c>
      <c r="AH51" s="124"/>
      <c r="AI51" s="124"/>
      <c r="AJ51" s="124"/>
      <c r="AK51" s="124"/>
      <c r="AL51" s="124"/>
      <c r="AM51" s="124"/>
      <c r="AN51" s="125"/>
      <c r="AO51" s="123" t="str">
        <f>BIN2HEX(CONCATENATE(AO50,AP50,AQ50,AR50,AS50,AT50,AU50,AV50),2)</f>
        <v>00</v>
      </c>
      <c r="AP51" s="124"/>
      <c r="AQ51" s="124"/>
      <c r="AR51" s="124"/>
      <c r="AS51" s="124"/>
      <c r="AT51" s="124"/>
      <c r="AU51" s="124"/>
      <c r="AV51" s="125"/>
      <c r="AW51" s="123" t="str">
        <f>BIN2HEX(CONCATENATE(AW50,AX50,AY50,AZ50,BA50,BB50,BC50,BD50),2)</f>
        <v>00</v>
      </c>
      <c r="AX51" s="124"/>
      <c r="AY51" s="124"/>
      <c r="AZ51" s="124"/>
      <c r="BA51" s="124"/>
      <c r="BB51" s="124"/>
      <c r="BC51" s="124"/>
      <c r="BD51" s="125"/>
      <c r="BE51" s="123" t="str">
        <f>BIN2HEX(CONCATENATE(BE50,BF50,BG50,BH50,BI50,BJ50,BK50,BL50),2)</f>
        <v>00</v>
      </c>
      <c r="BF51" s="124"/>
      <c r="BG51" s="124"/>
      <c r="BH51" s="124"/>
      <c r="BI51" s="124"/>
      <c r="BJ51" s="124"/>
      <c r="BK51" s="124"/>
      <c r="BL51" s="125"/>
      <c r="BM51" s="123" t="str">
        <f>BIN2HEX(CONCATENATE(BM50,BN50,BO50,BP50,BQ50,BR50,BS50,BT50),2)</f>
        <v>00</v>
      </c>
      <c r="BN51" s="124"/>
      <c r="BO51" s="124"/>
      <c r="BP51" s="124"/>
      <c r="BQ51" s="124"/>
      <c r="BR51" s="124"/>
      <c r="BS51" s="124"/>
      <c r="BT51" s="125"/>
      <c r="BU51" s="123" t="str">
        <f>BIN2HEX(CONCATENATE(BU50,BV50,BW50,BX50,BY50,BZ50,CA50,CB50),2)</f>
        <v>00</v>
      </c>
      <c r="BV51" s="124"/>
      <c r="BW51" s="124"/>
      <c r="BX51" s="124"/>
      <c r="BY51" s="124"/>
      <c r="BZ51" s="124"/>
      <c r="CA51" s="124"/>
      <c r="CB51" s="125"/>
      <c r="CC51" s="123" t="str">
        <f>BIN2HEX(CONCATENATE(CC50,CD50,CE50,CF50,CG50,CH50,CI50,CJ50),2)</f>
        <v>00</v>
      </c>
      <c r="CD51" s="124"/>
      <c r="CE51" s="124"/>
      <c r="CF51" s="124"/>
      <c r="CG51" s="124"/>
      <c r="CH51" s="124"/>
      <c r="CI51" s="124"/>
      <c r="CJ51" s="125"/>
    </row>
    <row r="52" spans="1:117">
      <c r="A52" s="135" t="s">
        <v>23</v>
      </c>
      <c r="B52" s="32">
        <v>0</v>
      </c>
      <c r="C52" s="32">
        <v>0</v>
      </c>
      <c r="D52" s="32">
        <v>0</v>
      </c>
      <c r="E52" s="32">
        <v>0</v>
      </c>
      <c r="F52" s="32">
        <v>0</v>
      </c>
      <c r="G52" s="32">
        <v>0</v>
      </c>
      <c r="H52" s="32">
        <v>0</v>
      </c>
      <c r="I52" s="32">
        <v>0</v>
      </c>
      <c r="J52" s="32">
        <v>0</v>
      </c>
      <c r="K52" s="32">
        <v>0</v>
      </c>
      <c r="L52" s="32">
        <v>0</v>
      </c>
      <c r="M52" s="32">
        <v>0</v>
      </c>
      <c r="N52" s="32">
        <v>0</v>
      </c>
      <c r="O52" s="32">
        <v>0</v>
      </c>
      <c r="P52" s="32">
        <v>0</v>
      </c>
      <c r="Q52" s="32">
        <v>0</v>
      </c>
      <c r="R52" s="32">
        <v>0</v>
      </c>
      <c r="S52" s="32">
        <v>0</v>
      </c>
      <c r="T52" s="32">
        <v>0</v>
      </c>
      <c r="U52" s="32">
        <v>0</v>
      </c>
      <c r="V52" s="32">
        <v>0</v>
      </c>
      <c r="W52" s="32">
        <v>0</v>
      </c>
      <c r="X52" s="32">
        <v>0</v>
      </c>
      <c r="Y52" s="32">
        <v>0</v>
      </c>
      <c r="Z52" s="32">
        <v>0</v>
      </c>
      <c r="AA52" s="32">
        <v>0</v>
      </c>
      <c r="AB52" s="32">
        <v>0</v>
      </c>
      <c r="AC52" s="32">
        <v>0</v>
      </c>
      <c r="AD52" s="32">
        <v>0</v>
      </c>
      <c r="AE52" s="32">
        <v>0</v>
      </c>
      <c r="AF52" s="32">
        <v>0</v>
      </c>
      <c r="AG52" s="32">
        <v>0</v>
      </c>
      <c r="AH52" s="32">
        <v>0</v>
      </c>
      <c r="AI52" s="32">
        <v>0</v>
      </c>
      <c r="AJ52" s="32">
        <v>0</v>
      </c>
      <c r="AK52" s="32">
        <v>0</v>
      </c>
      <c r="AL52" s="32">
        <v>0</v>
      </c>
      <c r="AM52" s="32">
        <v>0</v>
      </c>
      <c r="AN52" s="32">
        <v>0</v>
      </c>
      <c r="AO52" s="32">
        <v>0</v>
      </c>
      <c r="AP52" s="32">
        <v>0</v>
      </c>
      <c r="AQ52" s="32">
        <v>0</v>
      </c>
      <c r="AR52" s="32">
        <v>0</v>
      </c>
      <c r="AS52" s="32">
        <v>0</v>
      </c>
      <c r="AT52" s="32">
        <v>0</v>
      </c>
      <c r="AU52" s="32">
        <v>0</v>
      </c>
      <c r="AV52" s="32">
        <v>0</v>
      </c>
      <c r="AW52" s="32">
        <v>0</v>
      </c>
      <c r="AX52" s="32">
        <v>0</v>
      </c>
      <c r="AY52" s="32">
        <v>0</v>
      </c>
      <c r="AZ52" s="32">
        <v>0</v>
      </c>
      <c r="BA52" s="32">
        <v>0</v>
      </c>
      <c r="BB52" s="32">
        <v>0</v>
      </c>
      <c r="BC52" s="32">
        <v>0</v>
      </c>
      <c r="BD52" s="32">
        <v>0</v>
      </c>
      <c r="BE52" s="32">
        <v>0</v>
      </c>
      <c r="BF52" s="32">
        <v>0</v>
      </c>
      <c r="BG52" s="32">
        <v>0</v>
      </c>
      <c r="BH52" s="32">
        <v>0</v>
      </c>
      <c r="BI52" s="32">
        <v>0</v>
      </c>
      <c r="BJ52" s="32">
        <v>0</v>
      </c>
      <c r="BK52" s="32">
        <v>0</v>
      </c>
      <c r="BL52" s="32">
        <v>0</v>
      </c>
      <c r="BM52" s="32">
        <v>0</v>
      </c>
      <c r="BN52" s="32">
        <v>0</v>
      </c>
      <c r="BO52" s="32">
        <v>0</v>
      </c>
      <c r="BP52" s="32">
        <v>0</v>
      </c>
      <c r="BQ52" s="32">
        <v>0</v>
      </c>
      <c r="BR52" s="32">
        <v>0</v>
      </c>
      <c r="BS52" s="32">
        <v>0</v>
      </c>
      <c r="BT52" s="32">
        <v>0</v>
      </c>
      <c r="BU52" s="32">
        <v>0</v>
      </c>
      <c r="BV52" s="32">
        <v>0</v>
      </c>
      <c r="BW52" s="32">
        <v>0</v>
      </c>
      <c r="BX52" s="32">
        <v>0</v>
      </c>
      <c r="BY52" s="32">
        <v>0</v>
      </c>
      <c r="BZ52" s="32">
        <v>0</v>
      </c>
      <c r="CA52" s="32">
        <v>0</v>
      </c>
      <c r="CB52" s="32">
        <v>0</v>
      </c>
      <c r="CC52" s="32">
        <v>0</v>
      </c>
      <c r="CD52" s="32">
        <v>0</v>
      </c>
      <c r="CE52" s="32">
        <v>0</v>
      </c>
      <c r="CF52" s="32">
        <v>0</v>
      </c>
      <c r="CG52" s="32">
        <v>0</v>
      </c>
      <c r="CH52" s="32">
        <v>0</v>
      </c>
      <c r="CI52" s="32">
        <v>0</v>
      </c>
      <c r="CJ52" s="32">
        <v>0</v>
      </c>
    </row>
    <row r="53" spans="1:117" hidden="1">
      <c r="A53" s="136"/>
      <c r="B53" s="39" t="str">
        <f ca="1">DEC2HEX(B52,INDIRECT("'parameters recipe'!$C"&amp;B$27))</f>
        <v>0</v>
      </c>
      <c r="C53" s="39" t="e">
        <f t="shared" ref="C53:L53" ca="1" si="34">DEC2HEX(C52,INDIRECT("'parameters recipe'!$C"&amp;C$27))</f>
        <v>#NUM!</v>
      </c>
      <c r="D53" s="39" t="str">
        <f t="shared" ca="1" si="34"/>
        <v>0</v>
      </c>
      <c r="E53" s="39" t="e">
        <f t="shared" ca="1" si="34"/>
        <v>#NUM!</v>
      </c>
      <c r="F53" s="39" t="str">
        <f t="shared" ca="1" si="34"/>
        <v>0</v>
      </c>
      <c r="G53" s="39" t="e">
        <f t="shared" ca="1" si="34"/>
        <v>#NUM!</v>
      </c>
      <c r="H53" s="39" t="str">
        <f t="shared" ca="1" si="34"/>
        <v>0</v>
      </c>
      <c r="I53" s="39" t="e">
        <f t="shared" ca="1" si="34"/>
        <v>#NUM!</v>
      </c>
      <c r="J53" s="39" t="str">
        <f t="shared" ca="1" si="34"/>
        <v>0</v>
      </c>
      <c r="K53" s="39" t="e">
        <f t="shared" ca="1" si="34"/>
        <v>#NUM!</v>
      </c>
      <c r="L53" s="39" t="str">
        <f t="shared" ca="1" si="34"/>
        <v>0</v>
      </c>
      <c r="M53" s="123" t="str">
        <f>BIN2HEX(CONCATENATE(M52,N52,O52,P52,Q52,R52,S52,T52),2)</f>
        <v>00</v>
      </c>
      <c r="N53" s="124"/>
      <c r="O53" s="124"/>
      <c r="P53" s="124"/>
      <c r="Q53" s="124"/>
      <c r="R53" s="124"/>
      <c r="S53" s="124"/>
      <c r="T53" s="125"/>
      <c r="U53" s="39" t="e">
        <f t="shared" ref="U53:X53" ca="1" si="35">DEC2HEX(U52,INDIRECT("'parameters recipe'!$C"&amp;U$27))</f>
        <v>#NUM!</v>
      </c>
      <c r="V53" s="39" t="e">
        <f t="shared" ca="1" si="35"/>
        <v>#NUM!</v>
      </c>
      <c r="W53" s="39" t="e">
        <f t="shared" ca="1" si="35"/>
        <v>#NUM!</v>
      </c>
      <c r="X53" s="39" t="e">
        <f t="shared" ca="1" si="35"/>
        <v>#NUM!</v>
      </c>
      <c r="Y53" s="123" t="str">
        <f>BIN2HEX(CONCATENATE(Y52,Z52,AA52,AB52,AC52,AD52,AE52,AF52),2)</f>
        <v>00</v>
      </c>
      <c r="Z53" s="124"/>
      <c r="AA53" s="124"/>
      <c r="AB53" s="124"/>
      <c r="AC53" s="124"/>
      <c r="AD53" s="124"/>
      <c r="AE53" s="124"/>
      <c r="AF53" s="125"/>
      <c r="AG53" s="123" t="str">
        <f>BIN2HEX(CONCATENATE(AG52,AH52,AI52,AJ52,AK52,AL52,AM52,AN52),2)</f>
        <v>00</v>
      </c>
      <c r="AH53" s="124"/>
      <c r="AI53" s="124"/>
      <c r="AJ53" s="124"/>
      <c r="AK53" s="124"/>
      <c r="AL53" s="124"/>
      <c r="AM53" s="124"/>
      <c r="AN53" s="125"/>
      <c r="AO53" s="123" t="str">
        <f>BIN2HEX(CONCATENATE(AO52,AP52,AQ52,AR52,AS52,AT52,AU52,AV52),2)</f>
        <v>00</v>
      </c>
      <c r="AP53" s="124"/>
      <c r="AQ53" s="124"/>
      <c r="AR53" s="124"/>
      <c r="AS53" s="124"/>
      <c r="AT53" s="124"/>
      <c r="AU53" s="124"/>
      <c r="AV53" s="125"/>
      <c r="AW53" s="123" t="str">
        <f>BIN2HEX(CONCATENATE(AW52,AX52,AY52,AZ52,BA52,BB52,BC52,BD52),2)</f>
        <v>00</v>
      </c>
      <c r="AX53" s="124"/>
      <c r="AY53" s="124"/>
      <c r="AZ53" s="124"/>
      <c r="BA53" s="124"/>
      <c r="BB53" s="124"/>
      <c r="BC53" s="124"/>
      <c r="BD53" s="125"/>
      <c r="BE53" s="123" t="str">
        <f>BIN2HEX(CONCATENATE(BE52,BF52,BG52,BH52,BI52,BJ52,BK52,BL52),2)</f>
        <v>00</v>
      </c>
      <c r="BF53" s="124"/>
      <c r="BG53" s="124"/>
      <c r="BH53" s="124"/>
      <c r="BI53" s="124"/>
      <c r="BJ53" s="124"/>
      <c r="BK53" s="124"/>
      <c r="BL53" s="125"/>
      <c r="BM53" s="123" t="str">
        <f>BIN2HEX(CONCATENATE(BM52,BN52,BO52,BP52,BQ52,BR52,BS52,BT52),2)</f>
        <v>00</v>
      </c>
      <c r="BN53" s="124"/>
      <c r="BO53" s="124"/>
      <c r="BP53" s="124"/>
      <c r="BQ53" s="124"/>
      <c r="BR53" s="124"/>
      <c r="BS53" s="124"/>
      <c r="BT53" s="125"/>
      <c r="BU53" s="123" t="str">
        <f>BIN2HEX(CONCATENATE(BU52,BV52,BW52,BX52,BY52,BZ52,CA52,CB52),2)</f>
        <v>00</v>
      </c>
      <c r="BV53" s="124"/>
      <c r="BW53" s="124"/>
      <c r="BX53" s="124"/>
      <c r="BY53" s="124"/>
      <c r="BZ53" s="124"/>
      <c r="CA53" s="124"/>
      <c r="CB53" s="125"/>
      <c r="CC53" s="123" t="str">
        <f>BIN2HEX(CONCATENATE(CC52,CD52,CE52,CF52,CG52,CH52,CI52,CJ52),2)</f>
        <v>00</v>
      </c>
      <c r="CD53" s="124"/>
      <c r="CE53" s="124"/>
      <c r="CF53" s="124"/>
      <c r="CG53" s="124"/>
      <c r="CH53" s="124"/>
      <c r="CI53" s="124"/>
      <c r="CJ53" s="125"/>
    </row>
    <row r="54" spans="1:117">
      <c r="A54" s="135" t="s">
        <v>24</v>
      </c>
      <c r="B54" s="32">
        <v>0</v>
      </c>
      <c r="C54" s="32">
        <v>0</v>
      </c>
      <c r="D54" s="32">
        <v>0</v>
      </c>
      <c r="E54" s="32">
        <v>0</v>
      </c>
      <c r="F54" s="32">
        <v>0</v>
      </c>
      <c r="G54" s="32">
        <v>0</v>
      </c>
      <c r="H54" s="32">
        <v>0</v>
      </c>
      <c r="I54" s="32">
        <v>0</v>
      </c>
      <c r="J54" s="32">
        <v>0</v>
      </c>
      <c r="K54" s="32">
        <v>0</v>
      </c>
      <c r="L54" s="32">
        <v>0</v>
      </c>
      <c r="M54" s="32">
        <v>0</v>
      </c>
      <c r="N54" s="32">
        <v>0</v>
      </c>
      <c r="O54" s="32">
        <v>0</v>
      </c>
      <c r="P54" s="32">
        <v>0</v>
      </c>
      <c r="Q54" s="32">
        <v>0</v>
      </c>
      <c r="R54" s="32">
        <v>0</v>
      </c>
      <c r="S54" s="32">
        <v>0</v>
      </c>
      <c r="T54" s="32">
        <v>0</v>
      </c>
      <c r="U54" s="32">
        <v>0</v>
      </c>
      <c r="V54" s="32">
        <v>0</v>
      </c>
      <c r="W54" s="32">
        <v>0</v>
      </c>
      <c r="X54" s="32">
        <v>0</v>
      </c>
      <c r="Y54" s="32">
        <v>0</v>
      </c>
      <c r="Z54" s="32">
        <v>0</v>
      </c>
      <c r="AA54" s="32">
        <v>0</v>
      </c>
      <c r="AB54" s="32">
        <v>0</v>
      </c>
      <c r="AC54" s="32">
        <v>0</v>
      </c>
      <c r="AD54" s="32">
        <v>0</v>
      </c>
      <c r="AE54" s="32">
        <v>0</v>
      </c>
      <c r="AF54" s="32">
        <v>0</v>
      </c>
      <c r="AG54" s="32">
        <v>0</v>
      </c>
      <c r="AH54" s="32">
        <v>0</v>
      </c>
      <c r="AI54" s="32">
        <v>0</v>
      </c>
      <c r="AJ54" s="32">
        <v>0</v>
      </c>
      <c r="AK54" s="32">
        <v>0</v>
      </c>
      <c r="AL54" s="32">
        <v>0</v>
      </c>
      <c r="AM54" s="32">
        <v>0</v>
      </c>
      <c r="AN54" s="32">
        <v>0</v>
      </c>
      <c r="AO54" s="32">
        <v>0</v>
      </c>
      <c r="AP54" s="32">
        <v>0</v>
      </c>
      <c r="AQ54" s="32">
        <v>0</v>
      </c>
      <c r="AR54" s="32">
        <v>0</v>
      </c>
      <c r="AS54" s="32">
        <v>0</v>
      </c>
      <c r="AT54" s="32">
        <v>0</v>
      </c>
      <c r="AU54" s="32">
        <v>0</v>
      </c>
      <c r="AV54" s="32">
        <v>0</v>
      </c>
      <c r="AW54" s="32">
        <v>0</v>
      </c>
      <c r="AX54" s="32">
        <v>0</v>
      </c>
      <c r="AY54" s="32">
        <v>0</v>
      </c>
      <c r="AZ54" s="32">
        <v>0</v>
      </c>
      <c r="BA54" s="32">
        <v>0</v>
      </c>
      <c r="BB54" s="32">
        <v>0</v>
      </c>
      <c r="BC54" s="32">
        <v>0</v>
      </c>
      <c r="BD54" s="32">
        <v>0</v>
      </c>
      <c r="BE54" s="32">
        <v>0</v>
      </c>
      <c r="BF54" s="32">
        <v>0</v>
      </c>
      <c r="BG54" s="32">
        <v>0</v>
      </c>
      <c r="BH54" s="32">
        <v>0</v>
      </c>
      <c r="BI54" s="32">
        <v>0</v>
      </c>
      <c r="BJ54" s="32">
        <v>0</v>
      </c>
      <c r="BK54" s="32">
        <v>0</v>
      </c>
      <c r="BL54" s="32">
        <v>0</v>
      </c>
      <c r="BM54" s="32">
        <v>0</v>
      </c>
      <c r="BN54" s="32">
        <v>0</v>
      </c>
      <c r="BO54" s="32">
        <v>0</v>
      </c>
      <c r="BP54" s="32">
        <v>0</v>
      </c>
      <c r="BQ54" s="32">
        <v>0</v>
      </c>
      <c r="BR54" s="32">
        <v>0</v>
      </c>
      <c r="BS54" s="32">
        <v>0</v>
      </c>
      <c r="BT54" s="32">
        <v>0</v>
      </c>
      <c r="BU54" s="32">
        <v>0</v>
      </c>
      <c r="BV54" s="32">
        <v>0</v>
      </c>
      <c r="BW54" s="32">
        <v>0</v>
      </c>
      <c r="BX54" s="32">
        <v>0</v>
      </c>
      <c r="BY54" s="32">
        <v>0</v>
      </c>
      <c r="BZ54" s="32">
        <v>0</v>
      </c>
      <c r="CA54" s="32">
        <v>0</v>
      </c>
      <c r="CB54" s="32">
        <v>0</v>
      </c>
      <c r="CC54" s="32">
        <v>0</v>
      </c>
      <c r="CD54" s="32">
        <v>0</v>
      </c>
      <c r="CE54" s="32">
        <v>0</v>
      </c>
      <c r="CF54" s="32">
        <v>0</v>
      </c>
      <c r="CG54" s="32">
        <v>0</v>
      </c>
      <c r="CH54" s="32">
        <v>0</v>
      </c>
      <c r="CI54" s="32">
        <v>0</v>
      </c>
      <c r="CJ54" s="32">
        <v>0</v>
      </c>
    </row>
    <row r="55" spans="1:117" hidden="1">
      <c r="A55" s="136"/>
      <c r="B55" s="39" t="str">
        <f ca="1">DEC2HEX(B54,INDIRECT("'parameters recipe'!$C"&amp;B$27))</f>
        <v>0</v>
      </c>
      <c r="C55" s="39" t="e">
        <f t="shared" ref="C55:L55" ca="1" si="36">DEC2HEX(C54,INDIRECT("'parameters recipe'!$C"&amp;C$27))</f>
        <v>#NUM!</v>
      </c>
      <c r="D55" s="39" t="str">
        <f t="shared" ca="1" si="36"/>
        <v>0</v>
      </c>
      <c r="E55" s="39" t="e">
        <f t="shared" ca="1" si="36"/>
        <v>#NUM!</v>
      </c>
      <c r="F55" s="39" t="str">
        <f t="shared" ca="1" si="36"/>
        <v>0</v>
      </c>
      <c r="G55" s="39" t="e">
        <f t="shared" ca="1" si="36"/>
        <v>#NUM!</v>
      </c>
      <c r="H55" s="39" t="str">
        <f t="shared" ca="1" si="36"/>
        <v>0</v>
      </c>
      <c r="I55" s="39" t="e">
        <f t="shared" ca="1" si="36"/>
        <v>#NUM!</v>
      </c>
      <c r="J55" s="39" t="str">
        <f t="shared" ca="1" si="36"/>
        <v>0</v>
      </c>
      <c r="K55" s="39" t="e">
        <f t="shared" ca="1" si="36"/>
        <v>#NUM!</v>
      </c>
      <c r="L55" s="39" t="str">
        <f t="shared" ca="1" si="36"/>
        <v>0</v>
      </c>
      <c r="M55" s="123" t="str">
        <f>BIN2HEX(CONCATENATE(M54,N54,O54,P54,Q54,R54,S54,T54),2)</f>
        <v>00</v>
      </c>
      <c r="N55" s="124"/>
      <c r="O55" s="124"/>
      <c r="P55" s="124"/>
      <c r="Q55" s="124"/>
      <c r="R55" s="124"/>
      <c r="S55" s="124"/>
      <c r="T55" s="125"/>
      <c r="U55" s="39" t="e">
        <f t="shared" ref="U55:X55" ca="1" si="37">DEC2HEX(U54,INDIRECT("'parameters recipe'!$C"&amp;U$27))</f>
        <v>#NUM!</v>
      </c>
      <c r="V55" s="39" t="e">
        <f t="shared" ca="1" si="37"/>
        <v>#NUM!</v>
      </c>
      <c r="W55" s="39" t="e">
        <f t="shared" ca="1" si="37"/>
        <v>#NUM!</v>
      </c>
      <c r="X55" s="39" t="e">
        <f t="shared" ca="1" si="37"/>
        <v>#NUM!</v>
      </c>
      <c r="Y55" s="123" t="str">
        <f>BIN2HEX(CONCATENATE(Y54,Z54,AA54,AB54,AC54,AD54,AE54,AF54),2)</f>
        <v>00</v>
      </c>
      <c r="Z55" s="124"/>
      <c r="AA55" s="124"/>
      <c r="AB55" s="124"/>
      <c r="AC55" s="124"/>
      <c r="AD55" s="124"/>
      <c r="AE55" s="124"/>
      <c r="AF55" s="125"/>
      <c r="AG55" s="123" t="str">
        <f>BIN2HEX(CONCATENATE(AG54,AH54,AI54,AJ54,AK54,AL54,AM54,AN54),2)</f>
        <v>00</v>
      </c>
      <c r="AH55" s="124"/>
      <c r="AI55" s="124"/>
      <c r="AJ55" s="124"/>
      <c r="AK55" s="124"/>
      <c r="AL55" s="124"/>
      <c r="AM55" s="124"/>
      <c r="AN55" s="125"/>
      <c r="AO55" s="123" t="str">
        <f>BIN2HEX(CONCATENATE(AO54,AP54,AQ54,AR54,AS54,AT54,AU54,AV54),2)</f>
        <v>00</v>
      </c>
      <c r="AP55" s="124"/>
      <c r="AQ55" s="124"/>
      <c r="AR55" s="124"/>
      <c r="AS55" s="124"/>
      <c r="AT55" s="124"/>
      <c r="AU55" s="124"/>
      <c r="AV55" s="125"/>
      <c r="AW55" s="123" t="str">
        <f>BIN2HEX(CONCATENATE(AW54,AX54,AY54,AZ54,BA54,BB54,BC54,BD54),2)</f>
        <v>00</v>
      </c>
      <c r="AX55" s="124"/>
      <c r="AY55" s="124"/>
      <c r="AZ55" s="124"/>
      <c r="BA55" s="124"/>
      <c r="BB55" s="124"/>
      <c r="BC55" s="124"/>
      <c r="BD55" s="125"/>
      <c r="BE55" s="123" t="str">
        <f>BIN2HEX(CONCATENATE(BE54,BF54,BG54,BH54,BI54,BJ54,BK54,BL54),2)</f>
        <v>00</v>
      </c>
      <c r="BF55" s="124"/>
      <c r="BG55" s="124"/>
      <c r="BH55" s="124"/>
      <c r="BI55" s="124"/>
      <c r="BJ55" s="124"/>
      <c r="BK55" s="124"/>
      <c r="BL55" s="125"/>
      <c r="BM55" s="123" t="str">
        <f>BIN2HEX(CONCATENATE(BM54,BN54,BO54,BP54,BQ54,BR54,BS54,BT54),2)</f>
        <v>00</v>
      </c>
      <c r="BN55" s="124"/>
      <c r="BO55" s="124"/>
      <c r="BP55" s="124"/>
      <c r="BQ55" s="124"/>
      <c r="BR55" s="124"/>
      <c r="BS55" s="124"/>
      <c r="BT55" s="125"/>
      <c r="BU55" s="123" t="str">
        <f>BIN2HEX(CONCATENATE(BU54,BV54,BW54,BX54,BY54,BZ54,CA54,CB54),2)</f>
        <v>00</v>
      </c>
      <c r="BV55" s="124"/>
      <c r="BW55" s="124"/>
      <c r="BX55" s="124"/>
      <c r="BY55" s="124"/>
      <c r="BZ55" s="124"/>
      <c r="CA55" s="124"/>
      <c r="CB55" s="125"/>
      <c r="CC55" s="123" t="str">
        <f>BIN2HEX(CONCATENATE(CC54,CD54,CE54,CF54,CG54,CH54,CI54,CJ54),2)</f>
        <v>00</v>
      </c>
      <c r="CD55" s="124"/>
      <c r="CE55" s="124"/>
      <c r="CF55" s="124"/>
      <c r="CG55" s="124"/>
      <c r="CH55" s="124"/>
      <c r="CI55" s="124"/>
      <c r="CJ55" s="125"/>
    </row>
    <row r="56" spans="1:117">
      <c r="A56" s="135" t="s">
        <v>25</v>
      </c>
      <c r="B56" s="32">
        <v>0</v>
      </c>
      <c r="C56" s="32">
        <v>0</v>
      </c>
      <c r="D56" s="32">
        <v>0</v>
      </c>
      <c r="E56" s="32">
        <v>0</v>
      </c>
      <c r="F56" s="32">
        <v>0</v>
      </c>
      <c r="G56" s="32">
        <v>0</v>
      </c>
      <c r="H56" s="32">
        <v>0</v>
      </c>
      <c r="I56" s="32">
        <v>0</v>
      </c>
      <c r="J56" s="32">
        <v>0</v>
      </c>
      <c r="K56" s="32">
        <v>0</v>
      </c>
      <c r="L56" s="32">
        <v>0</v>
      </c>
      <c r="M56" s="32">
        <v>0</v>
      </c>
      <c r="N56" s="32">
        <v>0</v>
      </c>
      <c r="O56" s="32">
        <v>0</v>
      </c>
      <c r="P56" s="32">
        <v>0</v>
      </c>
      <c r="Q56" s="32">
        <v>0</v>
      </c>
      <c r="R56" s="32">
        <v>0</v>
      </c>
      <c r="S56" s="32">
        <v>0</v>
      </c>
      <c r="T56" s="32">
        <v>0</v>
      </c>
      <c r="U56" s="32">
        <v>0</v>
      </c>
      <c r="V56" s="32">
        <v>0</v>
      </c>
      <c r="W56" s="32">
        <v>0</v>
      </c>
      <c r="X56" s="32">
        <v>0</v>
      </c>
      <c r="Y56" s="32">
        <v>0</v>
      </c>
      <c r="Z56" s="32">
        <v>0</v>
      </c>
      <c r="AA56" s="32">
        <v>0</v>
      </c>
      <c r="AB56" s="32">
        <v>0</v>
      </c>
      <c r="AC56" s="32">
        <v>0</v>
      </c>
      <c r="AD56" s="32">
        <v>0</v>
      </c>
      <c r="AE56" s="32">
        <v>0</v>
      </c>
      <c r="AF56" s="32">
        <v>0</v>
      </c>
      <c r="AG56" s="32">
        <v>0</v>
      </c>
      <c r="AH56" s="32">
        <v>0</v>
      </c>
      <c r="AI56" s="32">
        <v>0</v>
      </c>
      <c r="AJ56" s="32">
        <v>0</v>
      </c>
      <c r="AK56" s="32">
        <v>0</v>
      </c>
      <c r="AL56" s="32">
        <v>0</v>
      </c>
      <c r="AM56" s="32">
        <v>0</v>
      </c>
      <c r="AN56" s="32">
        <v>0</v>
      </c>
      <c r="AO56" s="32">
        <v>0</v>
      </c>
      <c r="AP56" s="32">
        <v>0</v>
      </c>
      <c r="AQ56" s="32">
        <v>0</v>
      </c>
      <c r="AR56" s="32">
        <v>0</v>
      </c>
      <c r="AS56" s="32">
        <v>0</v>
      </c>
      <c r="AT56" s="32">
        <v>0</v>
      </c>
      <c r="AU56" s="32">
        <v>0</v>
      </c>
      <c r="AV56" s="32">
        <v>0</v>
      </c>
      <c r="AW56" s="32">
        <v>0</v>
      </c>
      <c r="AX56" s="32">
        <v>0</v>
      </c>
      <c r="AY56" s="32">
        <v>0</v>
      </c>
      <c r="AZ56" s="32">
        <v>0</v>
      </c>
      <c r="BA56" s="32">
        <v>0</v>
      </c>
      <c r="BB56" s="32">
        <v>0</v>
      </c>
      <c r="BC56" s="32">
        <v>0</v>
      </c>
      <c r="BD56" s="32">
        <v>0</v>
      </c>
      <c r="BE56" s="32">
        <v>0</v>
      </c>
      <c r="BF56" s="32">
        <v>0</v>
      </c>
      <c r="BG56" s="32">
        <v>0</v>
      </c>
      <c r="BH56" s="32">
        <v>0</v>
      </c>
      <c r="BI56" s="32">
        <v>0</v>
      </c>
      <c r="BJ56" s="32">
        <v>0</v>
      </c>
      <c r="BK56" s="32">
        <v>0</v>
      </c>
      <c r="BL56" s="32">
        <v>0</v>
      </c>
      <c r="BM56" s="32">
        <v>0</v>
      </c>
      <c r="BN56" s="32">
        <v>0</v>
      </c>
      <c r="BO56" s="32">
        <v>0</v>
      </c>
      <c r="BP56" s="32">
        <v>0</v>
      </c>
      <c r="BQ56" s="32">
        <v>0</v>
      </c>
      <c r="BR56" s="32">
        <v>0</v>
      </c>
      <c r="BS56" s="32">
        <v>0</v>
      </c>
      <c r="BT56" s="32">
        <v>0</v>
      </c>
      <c r="BU56" s="32">
        <v>0</v>
      </c>
      <c r="BV56" s="32">
        <v>0</v>
      </c>
      <c r="BW56" s="32">
        <v>0</v>
      </c>
      <c r="BX56" s="32">
        <v>0</v>
      </c>
      <c r="BY56" s="32">
        <v>0</v>
      </c>
      <c r="BZ56" s="32">
        <v>0</v>
      </c>
      <c r="CA56" s="32">
        <v>0</v>
      </c>
      <c r="CB56" s="32">
        <v>0</v>
      </c>
      <c r="CC56" s="32">
        <v>0</v>
      </c>
      <c r="CD56" s="32">
        <v>0</v>
      </c>
      <c r="CE56" s="32">
        <v>0</v>
      </c>
      <c r="CF56" s="32">
        <v>0</v>
      </c>
      <c r="CG56" s="32">
        <v>0</v>
      </c>
      <c r="CH56" s="32">
        <v>0</v>
      </c>
      <c r="CI56" s="32">
        <v>0</v>
      </c>
      <c r="CJ56" s="32">
        <v>0</v>
      </c>
    </row>
    <row r="57" spans="1:117" hidden="1">
      <c r="A57" s="136"/>
      <c r="B57" s="39" t="str">
        <f ca="1">DEC2HEX(B56,INDIRECT("'parameters recipe'!$C"&amp;B$27))</f>
        <v>0</v>
      </c>
      <c r="C57" s="39" t="e">
        <f t="shared" ref="C57:L57" ca="1" si="38">DEC2HEX(C56,INDIRECT("'parameters recipe'!$C"&amp;C$27))</f>
        <v>#NUM!</v>
      </c>
      <c r="D57" s="39" t="str">
        <f t="shared" ca="1" si="38"/>
        <v>0</v>
      </c>
      <c r="E57" s="39" t="e">
        <f t="shared" ca="1" si="38"/>
        <v>#NUM!</v>
      </c>
      <c r="F57" s="39" t="str">
        <f t="shared" ca="1" si="38"/>
        <v>0</v>
      </c>
      <c r="G57" s="39" t="e">
        <f t="shared" ca="1" si="38"/>
        <v>#NUM!</v>
      </c>
      <c r="H57" s="39" t="str">
        <f t="shared" ca="1" si="38"/>
        <v>0</v>
      </c>
      <c r="I57" s="39" t="e">
        <f t="shared" ca="1" si="38"/>
        <v>#NUM!</v>
      </c>
      <c r="J57" s="39" t="str">
        <f t="shared" ca="1" si="38"/>
        <v>0</v>
      </c>
      <c r="K57" s="39" t="e">
        <f t="shared" ca="1" si="38"/>
        <v>#NUM!</v>
      </c>
      <c r="L57" s="39" t="str">
        <f t="shared" ca="1" si="38"/>
        <v>0</v>
      </c>
      <c r="M57" s="123" t="str">
        <f>BIN2HEX(CONCATENATE(M56,N56,O56,P56,Q56,R56,S56,T56),2)</f>
        <v>00</v>
      </c>
      <c r="N57" s="124"/>
      <c r="O57" s="124"/>
      <c r="P57" s="124"/>
      <c r="Q57" s="124"/>
      <c r="R57" s="124"/>
      <c r="S57" s="124"/>
      <c r="T57" s="125"/>
      <c r="U57" s="39" t="e">
        <f t="shared" ref="U57:X57" ca="1" si="39">DEC2HEX(U56,INDIRECT("'parameters recipe'!$C"&amp;U$27))</f>
        <v>#NUM!</v>
      </c>
      <c r="V57" s="39" t="e">
        <f t="shared" ca="1" si="39"/>
        <v>#NUM!</v>
      </c>
      <c r="W57" s="39" t="e">
        <f t="shared" ca="1" si="39"/>
        <v>#NUM!</v>
      </c>
      <c r="X57" s="39" t="e">
        <f t="shared" ca="1" si="39"/>
        <v>#NUM!</v>
      </c>
      <c r="Y57" s="123" t="str">
        <f>BIN2HEX(CONCATENATE(Y56,Z56,AA56,AB56,AC56,AD56,AE56,AF56),2)</f>
        <v>00</v>
      </c>
      <c r="Z57" s="124"/>
      <c r="AA57" s="124"/>
      <c r="AB57" s="124"/>
      <c r="AC57" s="124"/>
      <c r="AD57" s="124"/>
      <c r="AE57" s="124"/>
      <c r="AF57" s="125"/>
      <c r="AG57" s="123" t="str">
        <f>BIN2HEX(CONCATENATE(AG56,AH56,AI56,AJ56,AK56,AL56,AM56,AN56),2)</f>
        <v>00</v>
      </c>
      <c r="AH57" s="124"/>
      <c r="AI57" s="124"/>
      <c r="AJ57" s="124"/>
      <c r="AK57" s="124"/>
      <c r="AL57" s="124"/>
      <c r="AM57" s="124"/>
      <c r="AN57" s="125"/>
      <c r="AO57" s="123" t="str">
        <f>BIN2HEX(CONCATENATE(AO56,AP56,AQ56,AR56,AS56,AT56,AU56,AV56),2)</f>
        <v>00</v>
      </c>
      <c r="AP57" s="124"/>
      <c r="AQ57" s="124"/>
      <c r="AR57" s="124"/>
      <c r="AS57" s="124"/>
      <c r="AT57" s="124"/>
      <c r="AU57" s="124"/>
      <c r="AV57" s="125"/>
      <c r="AW57" s="123" t="str">
        <f>BIN2HEX(CONCATENATE(AW56,AX56,AY56,AZ56,BA56,BB56,BC56,BD56),2)</f>
        <v>00</v>
      </c>
      <c r="AX57" s="124"/>
      <c r="AY57" s="124"/>
      <c r="AZ57" s="124"/>
      <c r="BA57" s="124"/>
      <c r="BB57" s="124"/>
      <c r="BC57" s="124"/>
      <c r="BD57" s="125"/>
      <c r="BE57" s="123" t="str">
        <f>BIN2HEX(CONCATENATE(BE56,BF56,BG56,BH56,BI56,BJ56,BK56,BL56),2)</f>
        <v>00</v>
      </c>
      <c r="BF57" s="124"/>
      <c r="BG57" s="124"/>
      <c r="BH57" s="124"/>
      <c r="BI57" s="124"/>
      <c r="BJ57" s="124"/>
      <c r="BK57" s="124"/>
      <c r="BL57" s="125"/>
      <c r="BM57" s="123" t="str">
        <f>BIN2HEX(CONCATENATE(BM56,BN56,BO56,BP56,BQ56,BR56,BS56,BT56),2)</f>
        <v>00</v>
      </c>
      <c r="BN57" s="124"/>
      <c r="BO57" s="124"/>
      <c r="BP57" s="124"/>
      <c r="BQ57" s="124"/>
      <c r="BR57" s="124"/>
      <c r="BS57" s="124"/>
      <c r="BT57" s="125"/>
      <c r="BU57" s="123" t="str">
        <f>BIN2HEX(CONCATENATE(BU56,BV56,BW56,BX56,BY56,BZ56,CA56,CB56),2)</f>
        <v>00</v>
      </c>
      <c r="BV57" s="124"/>
      <c r="BW57" s="124"/>
      <c r="BX57" s="124"/>
      <c r="BY57" s="124"/>
      <c r="BZ57" s="124"/>
      <c r="CA57" s="124"/>
      <c r="CB57" s="125"/>
      <c r="CC57" s="123" t="str">
        <f>BIN2HEX(CONCATENATE(CC56,CD56,CE56,CF56,CG56,CH56,CI56,CJ56),2)</f>
        <v>00</v>
      </c>
      <c r="CD57" s="124"/>
      <c r="CE57" s="124"/>
      <c r="CF57" s="124"/>
      <c r="CG57" s="124"/>
      <c r="CH57" s="124"/>
      <c r="CI57" s="124"/>
      <c r="CJ57" s="125"/>
    </row>
    <row r="58" spans="1:117">
      <c r="A58" s="135" t="s">
        <v>122</v>
      </c>
      <c r="B58" s="32">
        <v>0</v>
      </c>
      <c r="C58" s="32">
        <v>0</v>
      </c>
      <c r="D58" s="32">
        <v>0</v>
      </c>
      <c r="E58" s="32">
        <v>0</v>
      </c>
      <c r="F58" s="32">
        <v>0</v>
      </c>
      <c r="G58" s="32">
        <v>0</v>
      </c>
      <c r="H58" s="32">
        <v>0</v>
      </c>
      <c r="I58" s="32">
        <v>0</v>
      </c>
      <c r="J58" s="32">
        <v>0</v>
      </c>
      <c r="K58" s="32">
        <v>0</v>
      </c>
      <c r="L58" s="32">
        <v>0</v>
      </c>
      <c r="M58" s="32">
        <v>0</v>
      </c>
      <c r="N58" s="32">
        <v>0</v>
      </c>
      <c r="O58" s="32">
        <v>0</v>
      </c>
      <c r="P58" s="32">
        <v>0</v>
      </c>
      <c r="Q58" s="32">
        <v>0</v>
      </c>
      <c r="R58" s="32">
        <v>0</v>
      </c>
      <c r="S58" s="32">
        <v>0</v>
      </c>
      <c r="T58" s="32">
        <v>0</v>
      </c>
      <c r="U58" s="32">
        <v>0</v>
      </c>
      <c r="V58" s="32">
        <v>0</v>
      </c>
      <c r="W58" s="32">
        <v>0</v>
      </c>
      <c r="X58" s="32">
        <v>0</v>
      </c>
      <c r="Y58" s="32">
        <v>0</v>
      </c>
      <c r="Z58" s="32">
        <v>0</v>
      </c>
      <c r="AA58" s="32">
        <v>0</v>
      </c>
      <c r="AB58" s="32">
        <v>0</v>
      </c>
      <c r="AC58" s="32">
        <v>0</v>
      </c>
      <c r="AD58" s="32">
        <v>0</v>
      </c>
      <c r="AE58" s="32">
        <v>0</v>
      </c>
      <c r="AF58" s="32">
        <v>0</v>
      </c>
      <c r="AG58" s="32">
        <v>0</v>
      </c>
      <c r="AH58" s="32">
        <v>0</v>
      </c>
      <c r="AI58" s="32">
        <v>0</v>
      </c>
      <c r="AJ58" s="32">
        <v>0</v>
      </c>
      <c r="AK58" s="32">
        <v>0</v>
      </c>
      <c r="AL58" s="32">
        <v>0</v>
      </c>
      <c r="AM58" s="32">
        <v>0</v>
      </c>
      <c r="AN58" s="32">
        <v>0</v>
      </c>
      <c r="AO58" s="32">
        <v>0</v>
      </c>
      <c r="AP58" s="32">
        <v>0</v>
      </c>
      <c r="AQ58" s="32">
        <v>0</v>
      </c>
      <c r="AR58" s="32">
        <v>0</v>
      </c>
      <c r="AS58" s="32">
        <v>0</v>
      </c>
      <c r="AT58" s="32">
        <v>0</v>
      </c>
      <c r="AU58" s="32">
        <v>0</v>
      </c>
      <c r="AV58" s="32">
        <v>0</v>
      </c>
      <c r="AW58" s="32">
        <v>0</v>
      </c>
      <c r="AX58" s="32">
        <v>0</v>
      </c>
      <c r="AY58" s="32">
        <v>0</v>
      </c>
      <c r="AZ58" s="32">
        <v>0</v>
      </c>
      <c r="BA58" s="32">
        <v>0</v>
      </c>
      <c r="BB58" s="32">
        <v>0</v>
      </c>
      <c r="BC58" s="32">
        <v>0</v>
      </c>
      <c r="BD58" s="32">
        <v>0</v>
      </c>
      <c r="BE58" s="32">
        <v>0</v>
      </c>
      <c r="BF58" s="32">
        <v>0</v>
      </c>
      <c r="BG58" s="32">
        <v>0</v>
      </c>
      <c r="BH58" s="32">
        <v>0</v>
      </c>
      <c r="BI58" s="32">
        <v>0</v>
      </c>
      <c r="BJ58" s="32">
        <v>0</v>
      </c>
      <c r="BK58" s="32">
        <v>0</v>
      </c>
      <c r="BL58" s="32">
        <v>0</v>
      </c>
      <c r="BM58" s="32">
        <v>0</v>
      </c>
      <c r="BN58" s="32">
        <v>0</v>
      </c>
      <c r="BO58" s="32">
        <v>0</v>
      </c>
      <c r="BP58" s="32">
        <v>0</v>
      </c>
      <c r="BQ58" s="32">
        <v>0</v>
      </c>
      <c r="BR58" s="32">
        <v>0</v>
      </c>
      <c r="BS58" s="32">
        <v>0</v>
      </c>
      <c r="BT58" s="32">
        <v>0</v>
      </c>
      <c r="BU58" s="32">
        <v>0</v>
      </c>
      <c r="BV58" s="32">
        <v>0</v>
      </c>
      <c r="BW58" s="32">
        <v>0</v>
      </c>
      <c r="BX58" s="32">
        <v>0</v>
      </c>
      <c r="BY58" s="32">
        <v>0</v>
      </c>
      <c r="BZ58" s="32">
        <v>0</v>
      </c>
      <c r="CA58" s="32">
        <v>0</v>
      </c>
      <c r="CB58" s="32">
        <v>0</v>
      </c>
      <c r="CC58" s="32">
        <v>0</v>
      </c>
      <c r="CD58" s="32">
        <v>0</v>
      </c>
      <c r="CE58" s="32">
        <v>0</v>
      </c>
      <c r="CF58" s="32">
        <v>0</v>
      </c>
      <c r="CG58" s="32">
        <v>0</v>
      </c>
      <c r="CH58" s="32">
        <v>0</v>
      </c>
      <c r="CI58" s="32">
        <v>0</v>
      </c>
      <c r="CJ58" s="32">
        <v>0</v>
      </c>
    </row>
    <row r="59" spans="1:117" hidden="1">
      <c r="A59" s="136"/>
      <c r="B59" s="39" t="str">
        <f ca="1">DEC2HEX(B58,INDIRECT("'parameters recipe'!$C"&amp;B$27))</f>
        <v>0</v>
      </c>
      <c r="C59" s="39" t="e">
        <f t="shared" ref="C59:L59" ca="1" si="40">DEC2HEX(C58,INDIRECT("'parameters recipe'!$C"&amp;C$27))</f>
        <v>#NUM!</v>
      </c>
      <c r="D59" s="39" t="str">
        <f t="shared" ca="1" si="40"/>
        <v>0</v>
      </c>
      <c r="E59" s="39" t="e">
        <f t="shared" ca="1" si="40"/>
        <v>#NUM!</v>
      </c>
      <c r="F59" s="39" t="str">
        <f t="shared" ca="1" si="40"/>
        <v>0</v>
      </c>
      <c r="G59" s="39" t="e">
        <f t="shared" ca="1" si="40"/>
        <v>#NUM!</v>
      </c>
      <c r="H59" s="39" t="str">
        <f t="shared" ca="1" si="40"/>
        <v>0</v>
      </c>
      <c r="I59" s="39" t="e">
        <f t="shared" ca="1" si="40"/>
        <v>#NUM!</v>
      </c>
      <c r="J59" s="39" t="str">
        <f t="shared" ca="1" si="40"/>
        <v>0</v>
      </c>
      <c r="K59" s="39" t="e">
        <f t="shared" ca="1" si="40"/>
        <v>#NUM!</v>
      </c>
      <c r="L59" s="39" t="str">
        <f t="shared" ca="1" si="40"/>
        <v>0</v>
      </c>
      <c r="M59" s="123" t="str">
        <f>BIN2HEX(CONCATENATE(M58,N58,O58,P58,Q58,R58,S58,T58),2)</f>
        <v>00</v>
      </c>
      <c r="N59" s="124"/>
      <c r="O59" s="124"/>
      <c r="P59" s="124"/>
      <c r="Q59" s="124"/>
      <c r="R59" s="124"/>
      <c r="S59" s="124"/>
      <c r="T59" s="125"/>
      <c r="U59" s="39" t="e">
        <f t="shared" ref="U59:X59" ca="1" si="41">DEC2HEX(U58,INDIRECT("'parameters recipe'!$C"&amp;U$27))</f>
        <v>#NUM!</v>
      </c>
      <c r="V59" s="39" t="e">
        <f t="shared" ca="1" si="41"/>
        <v>#NUM!</v>
      </c>
      <c r="W59" s="39" t="e">
        <f t="shared" ca="1" si="41"/>
        <v>#NUM!</v>
      </c>
      <c r="X59" s="39" t="e">
        <f t="shared" ca="1" si="41"/>
        <v>#NUM!</v>
      </c>
      <c r="Y59" s="123" t="str">
        <f>BIN2HEX(CONCATENATE(Y58,Z58,AA58,AB58,AC58,AD58,AE58,AF58),2)</f>
        <v>00</v>
      </c>
      <c r="Z59" s="124"/>
      <c r="AA59" s="124"/>
      <c r="AB59" s="124"/>
      <c r="AC59" s="124"/>
      <c r="AD59" s="124"/>
      <c r="AE59" s="124"/>
      <c r="AF59" s="125"/>
      <c r="AG59" s="123" t="str">
        <f>BIN2HEX(CONCATENATE(AG58,AH58,AI58,AJ58,AK58,AL58,AM58,AN58),2)</f>
        <v>00</v>
      </c>
      <c r="AH59" s="124"/>
      <c r="AI59" s="124"/>
      <c r="AJ59" s="124"/>
      <c r="AK59" s="124"/>
      <c r="AL59" s="124"/>
      <c r="AM59" s="124"/>
      <c r="AN59" s="125"/>
      <c r="AO59" s="123" t="str">
        <f>BIN2HEX(CONCATENATE(AO58,AP58,AQ58,AR58,AS58,AT58,AU58,AV58),2)</f>
        <v>00</v>
      </c>
      <c r="AP59" s="124"/>
      <c r="AQ59" s="124"/>
      <c r="AR59" s="124"/>
      <c r="AS59" s="124"/>
      <c r="AT59" s="124"/>
      <c r="AU59" s="124"/>
      <c r="AV59" s="125"/>
      <c r="AW59" s="123" t="str">
        <f>BIN2HEX(CONCATENATE(AW58,AX58,AY58,AZ58,BA58,BB58,BC58,BD58),2)</f>
        <v>00</v>
      </c>
      <c r="AX59" s="124"/>
      <c r="AY59" s="124"/>
      <c r="AZ59" s="124"/>
      <c r="BA59" s="124"/>
      <c r="BB59" s="124"/>
      <c r="BC59" s="124"/>
      <c r="BD59" s="125"/>
      <c r="BE59" s="123" t="str">
        <f>BIN2HEX(CONCATENATE(BE58,BF58,BG58,BH58,BI58,BJ58,BK58,BL58),2)</f>
        <v>00</v>
      </c>
      <c r="BF59" s="124"/>
      <c r="BG59" s="124"/>
      <c r="BH59" s="124"/>
      <c r="BI59" s="124"/>
      <c r="BJ59" s="124"/>
      <c r="BK59" s="124"/>
      <c r="BL59" s="125"/>
      <c r="BM59" s="123" t="str">
        <f>BIN2HEX(CONCATENATE(BM58,BN58,BO58,BP58,BQ58,BR58,BS58,BT58),2)</f>
        <v>00</v>
      </c>
      <c r="BN59" s="124"/>
      <c r="BO59" s="124"/>
      <c r="BP59" s="124"/>
      <c r="BQ59" s="124"/>
      <c r="BR59" s="124"/>
      <c r="BS59" s="124"/>
      <c r="BT59" s="125"/>
      <c r="BU59" s="123" t="str">
        <f>BIN2HEX(CONCATENATE(BU58,BV58,BW58,BX58,BY58,BZ58,CA58,CB58),2)</f>
        <v>00</v>
      </c>
      <c r="BV59" s="124"/>
      <c r="BW59" s="124"/>
      <c r="BX59" s="124"/>
      <c r="BY59" s="124"/>
      <c r="BZ59" s="124"/>
      <c r="CA59" s="124"/>
      <c r="CB59" s="125"/>
      <c r="CC59" s="123" t="str">
        <f>BIN2HEX(CONCATENATE(CC58,CD58,CE58,CF58,CG58,CH58,CI58,CJ58),2)</f>
        <v>00</v>
      </c>
      <c r="CD59" s="124"/>
      <c r="CE59" s="124"/>
      <c r="CF59" s="124"/>
      <c r="CG59" s="124"/>
      <c r="CH59" s="124"/>
      <c r="CI59" s="124"/>
      <c r="CJ59" s="125"/>
    </row>
    <row r="62" spans="1:117" ht="93">
      <c r="A62" s="45"/>
      <c r="L62" s="26"/>
      <c r="M62" s="26"/>
      <c r="N62" s="26"/>
      <c r="O62" s="26" t="s">
        <v>67</v>
      </c>
      <c r="P62" s="26" t="s">
        <v>96</v>
      </c>
      <c r="Q62" s="26" t="s">
        <v>98</v>
      </c>
      <c r="R62" s="26" t="s">
        <v>103</v>
      </c>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t="s">
        <v>67</v>
      </c>
      <c r="AQ62" s="26" t="s">
        <v>96</v>
      </c>
      <c r="AR62" s="26" t="s">
        <v>98</v>
      </c>
      <c r="AS62" s="26" t="s">
        <v>103</v>
      </c>
      <c r="AT62" s="26"/>
      <c r="AU62" s="26"/>
      <c r="AV62" s="26"/>
      <c r="AW62" s="26"/>
      <c r="AX62" s="26"/>
      <c r="AY62" s="26"/>
      <c r="AZ62" s="26"/>
      <c r="BA62" s="26"/>
      <c r="BB62" s="26"/>
      <c r="BC62" s="26"/>
      <c r="BD62" s="26"/>
      <c r="CK62" s="26"/>
      <c r="CL62" s="26"/>
      <c r="CM62" s="26"/>
      <c r="CN62" s="26"/>
      <c r="CO62" s="25"/>
      <c r="CP62" s="25"/>
      <c r="CQ62" s="25"/>
      <c r="CR62" s="25"/>
      <c r="CS62" s="26"/>
      <c r="CT62" s="26"/>
      <c r="CU62" s="26"/>
      <c r="CV62" s="26" t="s">
        <v>67</v>
      </c>
      <c r="CW62" s="26" t="s">
        <v>96</v>
      </c>
      <c r="CX62" s="26" t="s">
        <v>98</v>
      </c>
      <c r="CY62" s="26" t="s">
        <v>103</v>
      </c>
      <c r="CZ62" s="26"/>
      <c r="DA62" s="26"/>
      <c r="DB62" s="26"/>
      <c r="DC62" s="26"/>
      <c r="DD62" s="26"/>
      <c r="DE62" s="26"/>
      <c r="DF62" s="26"/>
      <c r="DG62" s="26"/>
      <c r="DH62" s="26"/>
      <c r="DI62" s="26"/>
      <c r="DJ62" s="26"/>
      <c r="DK62" s="26"/>
      <c r="DL62" s="26"/>
      <c r="DM62" s="26"/>
    </row>
    <row r="63" spans="1:117">
      <c r="L63" s="24" t="s">
        <v>100</v>
      </c>
      <c r="M63" s="23"/>
      <c r="N63" s="23"/>
      <c r="O63" s="3">
        <v>0</v>
      </c>
      <c r="P63" s="3">
        <f>R63*O63</f>
        <v>0</v>
      </c>
      <c r="Q63" s="3">
        <v>0</v>
      </c>
      <c r="R63" s="3">
        <v>5</v>
      </c>
      <c r="AM63" s="24" t="s">
        <v>100</v>
      </c>
      <c r="AN63" s="23"/>
      <c r="AO63" s="23"/>
      <c r="AP63" s="3">
        <v>0</v>
      </c>
      <c r="AQ63" s="3">
        <f>AS63*AP63</f>
        <v>0</v>
      </c>
      <c r="AR63" s="3">
        <v>0</v>
      </c>
      <c r="AS63" s="3">
        <v>5</v>
      </c>
      <c r="CK63" s="3"/>
      <c r="CL63" s="3"/>
      <c r="CM63" s="3"/>
      <c r="CN63" s="3"/>
      <c r="CS63" s="24" t="s">
        <v>100</v>
      </c>
      <c r="CT63" s="23"/>
      <c r="CU63" s="23"/>
      <c r="CV63" s="3">
        <v>0</v>
      </c>
      <c r="CW63" s="3">
        <f>CY63*CV63</f>
        <v>0</v>
      </c>
      <c r="CX63" s="3">
        <v>0</v>
      </c>
      <c r="CY63" s="3">
        <v>5</v>
      </c>
      <c r="CZ63" s="3"/>
      <c r="DA63" s="3"/>
      <c r="DB63" s="3"/>
      <c r="DC63" s="3"/>
      <c r="DD63" s="3"/>
      <c r="DE63" s="3"/>
      <c r="DF63" s="3"/>
      <c r="DG63" s="3"/>
      <c r="DH63" s="3"/>
      <c r="DI63" s="3"/>
      <c r="DJ63" s="3"/>
      <c r="DK63" s="3"/>
      <c r="DL63" s="3"/>
      <c r="DM63" s="3"/>
    </row>
    <row r="64" spans="1:117">
      <c r="O64" s="3">
        <f>O63+0.25</f>
        <v>0.25</v>
      </c>
      <c r="P64" s="3">
        <f>P63+(O64-O63)*R64</f>
        <v>1.25</v>
      </c>
      <c r="Q64" s="3">
        <v>0</v>
      </c>
      <c r="R64" s="3">
        <v>5</v>
      </c>
      <c r="AP64" s="3">
        <f>AP63+0.25</f>
        <v>0.25</v>
      </c>
      <c r="AQ64" s="3">
        <f>AQ63+(AP64-AP63)*AS64</f>
        <v>1.25</v>
      </c>
      <c r="AR64" s="3">
        <v>0</v>
      </c>
      <c r="AS64" s="3">
        <v>5</v>
      </c>
      <c r="CK64" s="3"/>
      <c r="CL64" s="3"/>
      <c r="CM64" s="3"/>
      <c r="CN64" s="3"/>
      <c r="CS64" s="3"/>
      <c r="CT64" s="3"/>
      <c r="CU64" s="3"/>
      <c r="CV64" s="3">
        <f>CV63+0.25</f>
        <v>0.25</v>
      </c>
      <c r="CW64" s="3">
        <f>CW63+(CV64-CV63)*CY64</f>
        <v>1.25</v>
      </c>
      <c r="CX64" s="3">
        <v>0</v>
      </c>
      <c r="CY64" s="3">
        <v>5</v>
      </c>
      <c r="CZ64" s="3"/>
      <c r="DA64" s="3"/>
      <c r="DB64" s="3"/>
      <c r="DC64" s="3"/>
      <c r="DD64" s="3"/>
      <c r="DE64" s="3"/>
      <c r="DF64" s="3"/>
      <c r="DG64" s="3"/>
      <c r="DH64" s="3"/>
      <c r="DI64" s="3"/>
      <c r="DJ64" s="3"/>
      <c r="DK64" s="3"/>
      <c r="DL64" s="3"/>
      <c r="DM64" s="3"/>
    </row>
    <row r="65" spans="12:117">
      <c r="O65" s="3">
        <f t="shared" ref="O65:O128" si="42">O64+0.25</f>
        <v>0.5</v>
      </c>
      <c r="P65" s="3">
        <f t="shared" ref="P65:P128" si="43">P64+(O65-O64)*R65</f>
        <v>2.5</v>
      </c>
      <c r="Q65" s="3">
        <v>0</v>
      </c>
      <c r="R65" s="3">
        <v>5</v>
      </c>
      <c r="AP65" s="3">
        <f t="shared" ref="AP65:AP128" si="44">AP64+0.25</f>
        <v>0.5</v>
      </c>
      <c r="AQ65" s="3">
        <f t="shared" ref="AQ65:AQ128" si="45">AQ64+(AP65-AP64)*AS65</f>
        <v>2.5</v>
      </c>
      <c r="AR65" s="3">
        <v>0</v>
      </c>
      <c r="AS65" s="3">
        <v>5</v>
      </c>
      <c r="CK65" s="3"/>
      <c r="CL65" s="3"/>
      <c r="CM65" s="3"/>
      <c r="CN65" s="3"/>
      <c r="CS65" s="3"/>
      <c r="CT65" s="3"/>
      <c r="CU65" s="3"/>
      <c r="CV65" s="3">
        <f t="shared" ref="CV65:CV128" si="46">CV64+0.25</f>
        <v>0.5</v>
      </c>
      <c r="CW65" s="3">
        <f t="shared" ref="CW65:CW128" si="47">CW64+(CV65-CV64)*CY65</f>
        <v>2.5</v>
      </c>
      <c r="CX65" s="3">
        <v>0</v>
      </c>
      <c r="CY65" s="3">
        <v>5</v>
      </c>
      <c r="CZ65" s="3"/>
      <c r="DA65" s="3"/>
      <c r="DB65" s="3"/>
      <c r="DC65" s="3"/>
      <c r="DD65" s="3"/>
      <c r="DE65" s="3"/>
      <c r="DF65" s="3"/>
      <c r="DG65" s="3"/>
      <c r="DH65" s="3"/>
      <c r="DI65" s="3"/>
      <c r="DJ65" s="3"/>
      <c r="DK65" s="3"/>
      <c r="DL65" s="3"/>
      <c r="DM65" s="3"/>
    </row>
    <row r="66" spans="12:117">
      <c r="O66" s="3">
        <f t="shared" si="42"/>
        <v>0.75</v>
      </c>
      <c r="P66" s="3">
        <f t="shared" si="43"/>
        <v>3.75</v>
      </c>
      <c r="Q66" s="3">
        <v>0</v>
      </c>
      <c r="R66" s="3">
        <v>5</v>
      </c>
      <c r="AP66" s="3">
        <f t="shared" si="44"/>
        <v>0.75</v>
      </c>
      <c r="AQ66" s="3">
        <f t="shared" si="45"/>
        <v>3.75</v>
      </c>
      <c r="AR66" s="3">
        <v>0</v>
      </c>
      <c r="AS66" s="3">
        <v>5</v>
      </c>
      <c r="CK66" s="3"/>
      <c r="CL66" s="3"/>
      <c r="CM66" s="3"/>
      <c r="CN66" s="3"/>
      <c r="CS66" s="3"/>
      <c r="CT66" s="3"/>
      <c r="CU66" s="3"/>
      <c r="CV66" s="3">
        <f t="shared" si="46"/>
        <v>0.75</v>
      </c>
      <c r="CW66" s="3">
        <f t="shared" si="47"/>
        <v>3.75</v>
      </c>
      <c r="CX66" s="3">
        <v>0</v>
      </c>
      <c r="CY66" s="3">
        <v>5</v>
      </c>
      <c r="CZ66" s="3"/>
      <c r="DA66" s="3"/>
      <c r="DB66" s="3"/>
      <c r="DC66" s="3"/>
      <c r="DD66" s="3"/>
      <c r="DE66" s="3"/>
      <c r="DF66" s="3"/>
      <c r="DG66" s="3"/>
      <c r="DH66" s="3"/>
      <c r="DI66" s="3"/>
      <c r="DJ66" s="3"/>
      <c r="DK66" s="3"/>
      <c r="DL66" s="3"/>
      <c r="DM66" s="3"/>
    </row>
    <row r="67" spans="12:117">
      <c r="L67" s="24" t="s">
        <v>101</v>
      </c>
      <c r="M67" s="23"/>
      <c r="N67" s="23"/>
      <c r="O67" s="3">
        <f t="shared" si="42"/>
        <v>1</v>
      </c>
      <c r="P67" s="23">
        <f t="shared" si="43"/>
        <v>5</v>
      </c>
      <c r="Q67" s="3">
        <v>0</v>
      </c>
      <c r="R67" s="3">
        <v>5</v>
      </c>
      <c r="AM67" s="24" t="s">
        <v>101</v>
      </c>
      <c r="AN67" s="23"/>
      <c r="AO67" s="23"/>
      <c r="AP67" s="3">
        <f t="shared" si="44"/>
        <v>1</v>
      </c>
      <c r="AQ67" s="23">
        <f t="shared" si="45"/>
        <v>5</v>
      </c>
      <c r="AR67" s="3">
        <v>0</v>
      </c>
      <c r="AS67" s="3">
        <v>5</v>
      </c>
      <c r="CK67" s="3"/>
      <c r="CL67" s="3"/>
      <c r="CM67" s="3"/>
      <c r="CN67" s="3"/>
      <c r="CS67" s="24" t="s">
        <v>101</v>
      </c>
      <c r="CT67" s="23"/>
      <c r="CU67" s="23"/>
      <c r="CV67" s="3">
        <f t="shared" si="46"/>
        <v>1</v>
      </c>
      <c r="CW67" s="23">
        <f t="shared" si="47"/>
        <v>5</v>
      </c>
      <c r="CX67" s="3">
        <v>0</v>
      </c>
      <c r="CY67" s="3">
        <v>5</v>
      </c>
      <c r="CZ67" s="3"/>
      <c r="DA67" s="3"/>
      <c r="DB67" s="3"/>
      <c r="DC67" s="3"/>
      <c r="DD67" s="3"/>
      <c r="DE67" s="3"/>
      <c r="DF67" s="3"/>
      <c r="DG67" s="3"/>
      <c r="DH67" s="3"/>
      <c r="DI67" s="3"/>
      <c r="DJ67" s="3"/>
      <c r="DK67" s="3"/>
      <c r="DL67" s="3"/>
      <c r="DM67" s="3"/>
    </row>
    <row r="68" spans="12:117">
      <c r="O68" s="3">
        <f t="shared" si="42"/>
        <v>1.25</v>
      </c>
      <c r="P68" s="3">
        <f t="shared" si="43"/>
        <v>5</v>
      </c>
      <c r="Q68" s="3">
        <v>0</v>
      </c>
      <c r="R68" s="3">
        <v>0</v>
      </c>
      <c r="AP68" s="3">
        <f t="shared" si="44"/>
        <v>1.25</v>
      </c>
      <c r="AQ68" s="3">
        <f t="shared" si="45"/>
        <v>5</v>
      </c>
      <c r="AR68" s="3">
        <v>0</v>
      </c>
      <c r="AS68" s="3">
        <v>0</v>
      </c>
      <c r="CK68" s="3"/>
      <c r="CL68" s="3"/>
      <c r="CM68" s="3"/>
      <c r="CN68" s="3"/>
      <c r="CS68" s="3"/>
      <c r="CT68" s="3"/>
      <c r="CU68" s="3"/>
      <c r="CV68" s="3">
        <f t="shared" si="46"/>
        <v>1.25</v>
      </c>
      <c r="CW68" s="3">
        <f t="shared" si="47"/>
        <v>5</v>
      </c>
      <c r="CX68" s="3">
        <v>0</v>
      </c>
      <c r="CY68" s="3">
        <v>0</v>
      </c>
      <c r="CZ68" s="3"/>
      <c r="DA68" s="3"/>
      <c r="DB68" s="3"/>
      <c r="DC68" s="3"/>
      <c r="DD68" s="3"/>
      <c r="DE68" s="3"/>
      <c r="DF68" s="3"/>
      <c r="DG68" s="3"/>
      <c r="DH68" s="3"/>
      <c r="DI68" s="3"/>
      <c r="DJ68" s="3"/>
      <c r="DK68" s="3"/>
      <c r="DL68" s="3"/>
      <c r="DM68" s="3"/>
    </row>
    <row r="69" spans="12:117">
      <c r="O69" s="3">
        <f t="shared" si="42"/>
        <v>1.5</v>
      </c>
      <c r="P69" s="3">
        <f t="shared" si="43"/>
        <v>5</v>
      </c>
      <c r="Q69" s="3">
        <v>0</v>
      </c>
      <c r="R69" s="3">
        <v>0</v>
      </c>
      <c r="AP69" s="3">
        <f t="shared" si="44"/>
        <v>1.5</v>
      </c>
      <c r="AQ69" s="3">
        <f t="shared" si="45"/>
        <v>5</v>
      </c>
      <c r="AR69" s="3">
        <v>0</v>
      </c>
      <c r="AS69" s="3">
        <v>0</v>
      </c>
      <c r="CK69" s="3"/>
      <c r="CL69" s="3"/>
      <c r="CM69" s="3"/>
      <c r="CN69" s="3"/>
      <c r="CS69" s="3"/>
      <c r="CT69" s="3"/>
      <c r="CU69" s="3"/>
      <c r="CV69" s="3">
        <f t="shared" si="46"/>
        <v>1.5</v>
      </c>
      <c r="CW69" s="3">
        <f t="shared" si="47"/>
        <v>5</v>
      </c>
      <c r="CX69" s="3">
        <v>0</v>
      </c>
      <c r="CY69" s="3">
        <v>0</v>
      </c>
      <c r="CZ69" s="3"/>
      <c r="DA69" s="3"/>
      <c r="DB69" s="3"/>
      <c r="DC69" s="3"/>
      <c r="DD69" s="3"/>
      <c r="DE69" s="3"/>
      <c r="DF69" s="3"/>
      <c r="DG69" s="3"/>
      <c r="DH69" s="3"/>
      <c r="DI69" s="3"/>
      <c r="DJ69" s="3"/>
      <c r="DK69" s="3"/>
      <c r="DL69" s="3"/>
      <c r="DM69" s="3"/>
    </row>
    <row r="70" spans="12:117">
      <c r="O70" s="3">
        <f t="shared" si="42"/>
        <v>1.75</v>
      </c>
      <c r="P70" s="3">
        <f t="shared" si="43"/>
        <v>5</v>
      </c>
      <c r="Q70" s="3">
        <v>0</v>
      </c>
      <c r="R70" s="3">
        <v>0</v>
      </c>
      <c r="AP70" s="3">
        <f t="shared" si="44"/>
        <v>1.75</v>
      </c>
      <c r="AQ70" s="3">
        <f t="shared" si="45"/>
        <v>5</v>
      </c>
      <c r="AR70" s="3">
        <v>0</v>
      </c>
      <c r="AS70" s="3">
        <v>0</v>
      </c>
      <c r="CK70" s="3"/>
      <c r="CL70" s="3"/>
      <c r="CM70" s="3"/>
      <c r="CN70" s="3"/>
      <c r="CS70" s="3"/>
      <c r="CT70" s="3"/>
      <c r="CU70" s="3"/>
      <c r="CV70" s="3">
        <f t="shared" si="46"/>
        <v>1.75</v>
      </c>
      <c r="CW70" s="3">
        <f t="shared" si="47"/>
        <v>5</v>
      </c>
      <c r="CX70" s="3">
        <v>0</v>
      </c>
      <c r="CY70" s="3">
        <v>0</v>
      </c>
      <c r="CZ70" s="3"/>
      <c r="DA70" s="3"/>
      <c r="DB70" s="3"/>
      <c r="DC70" s="3"/>
      <c r="DD70" s="3"/>
      <c r="DE70" s="3"/>
      <c r="DF70" s="3"/>
      <c r="DG70" s="3"/>
      <c r="DH70" s="3"/>
      <c r="DI70" s="3"/>
      <c r="DJ70" s="3"/>
      <c r="DK70" s="3"/>
      <c r="DL70" s="3"/>
      <c r="DM70" s="3"/>
    </row>
    <row r="71" spans="12:117">
      <c r="O71" s="3">
        <f t="shared" si="42"/>
        <v>2</v>
      </c>
      <c r="P71" s="3">
        <f t="shared" si="43"/>
        <v>5</v>
      </c>
      <c r="Q71" s="3">
        <v>0</v>
      </c>
      <c r="R71" s="3">
        <v>0</v>
      </c>
      <c r="AP71" s="3">
        <f t="shared" si="44"/>
        <v>2</v>
      </c>
      <c r="AQ71" s="3">
        <f t="shared" si="45"/>
        <v>5</v>
      </c>
      <c r="AR71" s="3">
        <v>0</v>
      </c>
      <c r="AS71" s="3">
        <v>0</v>
      </c>
      <c r="CK71" s="3"/>
      <c r="CL71" s="3"/>
      <c r="CM71" s="3"/>
      <c r="CN71" s="3"/>
      <c r="CS71" s="3"/>
      <c r="CT71" s="3"/>
      <c r="CU71" s="3"/>
      <c r="CV71" s="3">
        <f t="shared" si="46"/>
        <v>2</v>
      </c>
      <c r="CW71" s="3">
        <f t="shared" si="47"/>
        <v>5</v>
      </c>
      <c r="CX71" s="3">
        <v>0</v>
      </c>
      <c r="CY71" s="3">
        <v>0</v>
      </c>
      <c r="CZ71" s="3"/>
      <c r="DA71" s="3"/>
      <c r="DB71" s="3"/>
      <c r="DC71" s="3"/>
      <c r="DD71" s="3"/>
      <c r="DE71" s="3"/>
      <c r="DF71" s="3"/>
      <c r="DG71" s="3"/>
      <c r="DH71" s="3"/>
      <c r="DI71" s="3"/>
      <c r="DJ71" s="3"/>
      <c r="DK71" s="3"/>
      <c r="DL71" s="3"/>
      <c r="DM71" s="3"/>
    </row>
    <row r="72" spans="12:117">
      <c r="O72" s="3">
        <f t="shared" si="42"/>
        <v>2.25</v>
      </c>
      <c r="P72" s="3">
        <f t="shared" si="43"/>
        <v>5</v>
      </c>
      <c r="Q72" s="3">
        <v>0</v>
      </c>
      <c r="R72" s="3">
        <v>0</v>
      </c>
      <c r="AP72" s="3">
        <f t="shared" si="44"/>
        <v>2.25</v>
      </c>
      <c r="AQ72" s="3">
        <f t="shared" si="45"/>
        <v>5</v>
      </c>
      <c r="AR72" s="3">
        <v>0</v>
      </c>
      <c r="AS72" s="3">
        <v>0</v>
      </c>
      <c r="CK72" s="3"/>
      <c r="CL72" s="3"/>
      <c r="CM72" s="3"/>
      <c r="CN72" s="3"/>
      <c r="CS72" s="3"/>
      <c r="CT72" s="3"/>
      <c r="CU72" s="3"/>
      <c r="CV72" s="3">
        <f t="shared" si="46"/>
        <v>2.25</v>
      </c>
      <c r="CW72" s="3">
        <f t="shared" si="47"/>
        <v>5</v>
      </c>
      <c r="CX72" s="3">
        <v>0</v>
      </c>
      <c r="CY72" s="3">
        <v>0</v>
      </c>
      <c r="CZ72" s="3"/>
      <c r="DA72" s="3"/>
      <c r="DB72" s="3"/>
      <c r="DC72" s="3"/>
      <c r="DD72" s="3"/>
      <c r="DE72" s="3"/>
      <c r="DF72" s="3"/>
      <c r="DG72" s="3"/>
      <c r="DH72" s="3"/>
      <c r="DI72" s="3"/>
      <c r="DJ72" s="3"/>
      <c r="DK72" s="3"/>
      <c r="DL72" s="3"/>
      <c r="DM72" s="3"/>
    </row>
    <row r="73" spans="12:117">
      <c r="O73" s="3">
        <f t="shared" si="42"/>
        <v>2.5</v>
      </c>
      <c r="P73" s="3">
        <f t="shared" si="43"/>
        <v>5</v>
      </c>
      <c r="Q73" s="3">
        <v>0</v>
      </c>
      <c r="R73" s="3">
        <v>0</v>
      </c>
      <c r="AP73" s="3">
        <f t="shared" si="44"/>
        <v>2.5</v>
      </c>
      <c r="AQ73" s="3">
        <f t="shared" si="45"/>
        <v>5</v>
      </c>
      <c r="AR73" s="3">
        <v>0</v>
      </c>
      <c r="AS73" s="3">
        <v>0</v>
      </c>
      <c r="CK73" s="3"/>
      <c r="CL73" s="3"/>
      <c r="CM73" s="3"/>
      <c r="CN73" s="3"/>
      <c r="CS73" s="3"/>
      <c r="CT73" s="3"/>
      <c r="CU73" s="3"/>
      <c r="CV73" s="3">
        <f t="shared" si="46"/>
        <v>2.5</v>
      </c>
      <c r="CW73" s="3">
        <f t="shared" si="47"/>
        <v>5</v>
      </c>
      <c r="CX73" s="3">
        <v>0</v>
      </c>
      <c r="CY73" s="3">
        <v>0</v>
      </c>
      <c r="CZ73" s="3"/>
      <c r="DA73" s="3"/>
      <c r="DB73" s="3"/>
      <c r="DC73" s="3"/>
      <c r="DD73" s="3"/>
      <c r="DE73" s="3"/>
      <c r="DF73" s="3"/>
      <c r="DG73" s="3"/>
      <c r="DH73" s="3"/>
      <c r="DI73" s="3"/>
      <c r="DJ73" s="3"/>
      <c r="DK73" s="3"/>
      <c r="DL73" s="3"/>
      <c r="DM73" s="3"/>
    </row>
    <row r="74" spans="12:117">
      <c r="O74" s="3">
        <f t="shared" si="42"/>
        <v>2.75</v>
      </c>
      <c r="P74" s="3">
        <f t="shared" si="43"/>
        <v>5</v>
      </c>
      <c r="Q74" s="3">
        <v>0</v>
      </c>
      <c r="R74" s="3">
        <v>0</v>
      </c>
      <c r="AP74" s="3">
        <f t="shared" si="44"/>
        <v>2.75</v>
      </c>
      <c r="AQ74" s="3">
        <f t="shared" si="45"/>
        <v>5</v>
      </c>
      <c r="AR74" s="3">
        <v>0</v>
      </c>
      <c r="AS74" s="3">
        <v>0</v>
      </c>
      <c r="CK74" s="3"/>
      <c r="CL74" s="3"/>
      <c r="CM74" s="3"/>
      <c r="CN74" s="3"/>
      <c r="CS74" s="3"/>
      <c r="CT74" s="3"/>
      <c r="CU74" s="3"/>
      <c r="CV74" s="3">
        <f t="shared" si="46"/>
        <v>2.75</v>
      </c>
      <c r="CW74" s="3">
        <f t="shared" si="47"/>
        <v>5</v>
      </c>
      <c r="CX74" s="3">
        <v>0</v>
      </c>
      <c r="CY74" s="3">
        <v>0</v>
      </c>
      <c r="CZ74" s="3"/>
      <c r="DA74" s="3"/>
      <c r="DB74" s="3"/>
      <c r="DC74" s="3"/>
      <c r="DD74" s="3"/>
      <c r="DE74" s="3"/>
      <c r="DF74" s="3"/>
      <c r="DG74" s="3"/>
      <c r="DH74" s="3"/>
      <c r="DI74" s="3"/>
      <c r="DJ74" s="3"/>
      <c r="DK74" s="3"/>
      <c r="DL74" s="3"/>
      <c r="DM74" s="3"/>
    </row>
    <row r="75" spans="12:117">
      <c r="O75" s="3">
        <f t="shared" si="42"/>
        <v>3</v>
      </c>
      <c r="P75" s="3">
        <f t="shared" si="43"/>
        <v>5</v>
      </c>
      <c r="Q75" s="3">
        <v>0</v>
      </c>
      <c r="R75" s="3">
        <v>0</v>
      </c>
      <c r="AP75" s="3">
        <f t="shared" si="44"/>
        <v>3</v>
      </c>
      <c r="AQ75" s="3">
        <f t="shared" si="45"/>
        <v>5</v>
      </c>
      <c r="AR75" s="3">
        <v>0</v>
      </c>
      <c r="AS75" s="3">
        <v>0</v>
      </c>
      <c r="CK75" s="3"/>
      <c r="CL75" s="3"/>
      <c r="CM75" s="3"/>
      <c r="CN75" s="3"/>
      <c r="CS75" s="3"/>
      <c r="CT75" s="3"/>
      <c r="CU75" s="3"/>
      <c r="CV75" s="3">
        <f t="shared" si="46"/>
        <v>3</v>
      </c>
      <c r="CW75" s="3">
        <f t="shared" si="47"/>
        <v>5</v>
      </c>
      <c r="CX75" s="3">
        <v>0</v>
      </c>
      <c r="CY75" s="3">
        <v>0</v>
      </c>
      <c r="CZ75" s="3"/>
      <c r="DA75" s="3"/>
      <c r="DB75" s="3"/>
      <c r="DC75" s="3"/>
      <c r="DD75" s="3"/>
      <c r="DE75" s="3"/>
      <c r="DF75" s="3"/>
      <c r="DG75" s="3"/>
      <c r="DH75" s="3"/>
      <c r="DI75" s="3"/>
      <c r="DJ75" s="3"/>
      <c r="DK75" s="3"/>
      <c r="DL75" s="3"/>
      <c r="DM75" s="3"/>
    </row>
    <row r="76" spans="12:117">
      <c r="O76" s="3">
        <f t="shared" si="42"/>
        <v>3.25</v>
      </c>
      <c r="P76" s="3">
        <f t="shared" si="43"/>
        <v>5</v>
      </c>
      <c r="Q76" s="3">
        <v>0</v>
      </c>
      <c r="R76" s="3">
        <v>0</v>
      </c>
      <c r="AP76" s="3">
        <f t="shared" si="44"/>
        <v>3.25</v>
      </c>
      <c r="AQ76" s="3">
        <f t="shared" si="45"/>
        <v>5</v>
      </c>
      <c r="AR76" s="3">
        <v>0</v>
      </c>
      <c r="AS76" s="3">
        <v>0</v>
      </c>
      <c r="CK76" s="3"/>
      <c r="CL76" s="3"/>
      <c r="CM76" s="3"/>
      <c r="CN76" s="3"/>
      <c r="CS76" s="3"/>
      <c r="CT76" s="3"/>
      <c r="CU76" s="3"/>
      <c r="CV76" s="3">
        <f t="shared" si="46"/>
        <v>3.25</v>
      </c>
      <c r="CW76" s="3">
        <f t="shared" si="47"/>
        <v>5</v>
      </c>
      <c r="CX76" s="3">
        <v>0</v>
      </c>
      <c r="CY76" s="3">
        <v>0</v>
      </c>
      <c r="CZ76" s="3"/>
      <c r="DA76" s="3"/>
      <c r="DB76" s="3"/>
      <c r="DC76" s="3"/>
      <c r="DD76" s="3"/>
      <c r="DE76" s="3"/>
      <c r="DF76" s="3"/>
      <c r="DG76" s="3"/>
      <c r="DH76" s="3"/>
      <c r="DI76" s="3"/>
      <c r="DJ76" s="3"/>
      <c r="DK76" s="3"/>
      <c r="DL76" s="3"/>
      <c r="DM76" s="3"/>
    </row>
    <row r="77" spans="12:117">
      <c r="O77" s="3">
        <f t="shared" si="42"/>
        <v>3.5</v>
      </c>
      <c r="P77" s="3">
        <f t="shared" si="43"/>
        <v>5</v>
      </c>
      <c r="Q77" s="3">
        <v>0</v>
      </c>
      <c r="R77" s="3">
        <v>0</v>
      </c>
      <c r="AP77" s="3">
        <f t="shared" si="44"/>
        <v>3.5</v>
      </c>
      <c r="AQ77" s="3">
        <f t="shared" si="45"/>
        <v>5</v>
      </c>
      <c r="AR77" s="3">
        <v>0</v>
      </c>
      <c r="AS77" s="3">
        <v>0</v>
      </c>
      <c r="CK77" s="3"/>
      <c r="CL77" s="3"/>
      <c r="CM77" s="3"/>
      <c r="CN77" s="3"/>
      <c r="CS77" s="3"/>
      <c r="CT77" s="3"/>
      <c r="CU77" s="3"/>
      <c r="CV77" s="3">
        <f t="shared" si="46"/>
        <v>3.5</v>
      </c>
      <c r="CW77" s="3">
        <f t="shared" si="47"/>
        <v>5</v>
      </c>
      <c r="CX77" s="3">
        <v>0</v>
      </c>
      <c r="CY77" s="3">
        <v>0</v>
      </c>
      <c r="CZ77" s="3"/>
      <c r="DA77" s="3"/>
      <c r="DB77" s="3"/>
      <c r="DC77" s="3"/>
      <c r="DD77" s="3"/>
      <c r="DE77" s="3"/>
      <c r="DF77" s="3"/>
      <c r="DG77" s="3"/>
      <c r="DH77" s="3"/>
      <c r="DI77" s="3"/>
      <c r="DJ77" s="3"/>
      <c r="DK77" s="3"/>
      <c r="DL77" s="3"/>
      <c r="DM77" s="3"/>
    </row>
    <row r="78" spans="12:117">
      <c r="O78" s="3">
        <f t="shared" si="42"/>
        <v>3.75</v>
      </c>
      <c r="P78" s="3">
        <f t="shared" si="43"/>
        <v>5</v>
      </c>
      <c r="Q78" s="3">
        <v>0</v>
      </c>
      <c r="R78" s="3">
        <v>0</v>
      </c>
      <c r="AP78" s="3">
        <f t="shared" si="44"/>
        <v>3.75</v>
      </c>
      <c r="AQ78" s="3">
        <f t="shared" si="45"/>
        <v>5</v>
      </c>
      <c r="AR78" s="3">
        <v>0</v>
      </c>
      <c r="AS78" s="3">
        <v>0</v>
      </c>
      <c r="CK78" s="3"/>
      <c r="CL78" s="3"/>
      <c r="CM78" s="3"/>
      <c r="CN78" s="3"/>
      <c r="CS78" s="3"/>
      <c r="CT78" s="3"/>
      <c r="CU78" s="3"/>
      <c r="CV78" s="3">
        <f t="shared" si="46"/>
        <v>3.75</v>
      </c>
      <c r="CW78" s="3">
        <f t="shared" si="47"/>
        <v>5</v>
      </c>
      <c r="CX78" s="3">
        <v>0</v>
      </c>
      <c r="CY78" s="3">
        <v>0</v>
      </c>
      <c r="CZ78" s="3"/>
      <c r="DA78" s="3"/>
      <c r="DB78" s="3"/>
      <c r="DC78" s="3"/>
      <c r="DD78" s="3"/>
      <c r="DE78" s="3"/>
      <c r="DF78" s="3"/>
      <c r="DG78" s="3"/>
      <c r="DH78" s="3"/>
      <c r="DI78" s="3"/>
      <c r="DJ78" s="3"/>
      <c r="DK78" s="3"/>
      <c r="DL78" s="3"/>
      <c r="DM78" s="3"/>
    </row>
    <row r="79" spans="12:117">
      <c r="O79" s="3">
        <f t="shared" si="42"/>
        <v>4</v>
      </c>
      <c r="P79" s="3">
        <f t="shared" si="43"/>
        <v>5</v>
      </c>
      <c r="Q79" s="3">
        <v>0</v>
      </c>
      <c r="R79" s="3">
        <v>0</v>
      </c>
      <c r="AP79" s="3">
        <f t="shared" si="44"/>
        <v>4</v>
      </c>
      <c r="AQ79" s="3">
        <f t="shared" si="45"/>
        <v>5</v>
      </c>
      <c r="AR79" s="3">
        <v>0</v>
      </c>
      <c r="AS79" s="3">
        <v>0</v>
      </c>
      <c r="CK79" s="3"/>
      <c r="CL79" s="3"/>
      <c r="CM79" s="3"/>
      <c r="CN79" s="3"/>
      <c r="CS79" s="3"/>
      <c r="CT79" s="3"/>
      <c r="CU79" s="3"/>
      <c r="CV79" s="3">
        <f t="shared" si="46"/>
        <v>4</v>
      </c>
      <c r="CW79" s="3">
        <f t="shared" si="47"/>
        <v>5</v>
      </c>
      <c r="CX79" s="3">
        <v>0</v>
      </c>
      <c r="CY79" s="3">
        <v>0</v>
      </c>
      <c r="CZ79" s="3"/>
      <c r="DA79" s="3"/>
      <c r="DB79" s="3"/>
      <c r="DC79" s="3"/>
      <c r="DD79" s="3"/>
      <c r="DE79" s="3"/>
      <c r="DF79" s="3"/>
      <c r="DG79" s="3"/>
      <c r="DH79" s="3"/>
      <c r="DI79" s="3"/>
      <c r="DJ79" s="3"/>
      <c r="DK79" s="3"/>
      <c r="DL79" s="3"/>
      <c r="DM79" s="3"/>
    </row>
    <row r="80" spans="12:117">
      <c r="O80" s="3">
        <f t="shared" si="42"/>
        <v>4.25</v>
      </c>
      <c r="P80" s="3">
        <f t="shared" si="43"/>
        <v>5</v>
      </c>
      <c r="Q80" s="3">
        <v>0</v>
      </c>
      <c r="R80" s="3">
        <v>0</v>
      </c>
      <c r="AP80" s="3">
        <f t="shared" si="44"/>
        <v>4.25</v>
      </c>
      <c r="AQ80" s="3">
        <f t="shared" si="45"/>
        <v>5</v>
      </c>
      <c r="AR80" s="3">
        <v>0</v>
      </c>
      <c r="AS80" s="3">
        <v>0</v>
      </c>
      <c r="CK80" s="3"/>
      <c r="CL80" s="3"/>
      <c r="CM80" s="3"/>
      <c r="CN80" s="3"/>
      <c r="CS80" s="3"/>
      <c r="CT80" s="3"/>
      <c r="CU80" s="3"/>
      <c r="CV80" s="3">
        <f t="shared" si="46"/>
        <v>4.25</v>
      </c>
      <c r="CW80" s="3">
        <f t="shared" si="47"/>
        <v>5</v>
      </c>
      <c r="CX80" s="3">
        <v>0</v>
      </c>
      <c r="CY80" s="3">
        <v>0</v>
      </c>
      <c r="CZ80" s="3"/>
      <c r="DA80" s="3"/>
      <c r="DB80" s="3"/>
      <c r="DC80" s="3"/>
      <c r="DD80" s="3"/>
      <c r="DE80" s="3"/>
      <c r="DF80" s="3"/>
      <c r="DG80" s="3"/>
      <c r="DH80" s="3"/>
      <c r="DI80" s="3"/>
      <c r="DJ80" s="3"/>
      <c r="DK80" s="3"/>
      <c r="DL80" s="3"/>
      <c r="DM80" s="3"/>
    </row>
    <row r="81" spans="12:117">
      <c r="O81" s="3">
        <f t="shared" si="42"/>
        <v>4.5</v>
      </c>
      <c r="P81" s="3">
        <f t="shared" si="43"/>
        <v>5</v>
      </c>
      <c r="Q81" s="3">
        <v>0</v>
      </c>
      <c r="R81" s="3">
        <v>0</v>
      </c>
      <c r="AP81" s="3">
        <f t="shared" si="44"/>
        <v>4.5</v>
      </c>
      <c r="AQ81" s="3">
        <f t="shared" si="45"/>
        <v>5</v>
      </c>
      <c r="AR81" s="3">
        <v>0</v>
      </c>
      <c r="AS81" s="3">
        <v>0</v>
      </c>
      <c r="CK81" s="3"/>
      <c r="CL81" s="3"/>
      <c r="CM81" s="3"/>
      <c r="CN81" s="3"/>
      <c r="CS81" s="3"/>
      <c r="CT81" s="3"/>
      <c r="CU81" s="3"/>
      <c r="CV81" s="3">
        <f t="shared" si="46"/>
        <v>4.5</v>
      </c>
      <c r="CW81" s="3">
        <f t="shared" si="47"/>
        <v>5</v>
      </c>
      <c r="CX81" s="3">
        <v>0</v>
      </c>
      <c r="CY81" s="3">
        <v>0</v>
      </c>
      <c r="CZ81" s="3"/>
      <c r="DA81" s="3"/>
      <c r="DB81" s="3"/>
      <c r="DC81" s="3"/>
      <c r="DD81" s="3"/>
      <c r="DE81" s="3"/>
      <c r="DF81" s="3"/>
      <c r="DG81" s="3"/>
      <c r="DH81" s="3"/>
      <c r="DI81" s="3"/>
      <c r="DJ81" s="3"/>
      <c r="DK81" s="3"/>
      <c r="DL81" s="3"/>
      <c r="DM81" s="3"/>
    </row>
    <row r="82" spans="12:117">
      <c r="O82" s="3">
        <f t="shared" si="42"/>
        <v>4.75</v>
      </c>
      <c r="P82" s="3">
        <f t="shared" si="43"/>
        <v>5</v>
      </c>
      <c r="Q82" s="3">
        <v>0</v>
      </c>
      <c r="R82" s="3">
        <v>0</v>
      </c>
      <c r="AP82" s="3">
        <f t="shared" si="44"/>
        <v>4.75</v>
      </c>
      <c r="AQ82" s="3">
        <f t="shared" si="45"/>
        <v>5</v>
      </c>
      <c r="AR82" s="3">
        <v>0</v>
      </c>
      <c r="AS82" s="3">
        <v>0</v>
      </c>
      <c r="CK82" s="3"/>
      <c r="CL82" s="3"/>
      <c r="CM82" s="3"/>
      <c r="CN82" s="3"/>
      <c r="CS82" s="3"/>
      <c r="CT82" s="3"/>
      <c r="CU82" s="3"/>
      <c r="CV82" s="3">
        <f t="shared" si="46"/>
        <v>4.75</v>
      </c>
      <c r="CW82" s="3">
        <f t="shared" si="47"/>
        <v>5</v>
      </c>
      <c r="CX82" s="3">
        <v>0</v>
      </c>
      <c r="CY82" s="3">
        <v>0</v>
      </c>
      <c r="CZ82" s="3"/>
      <c r="DA82" s="3"/>
      <c r="DB82" s="3"/>
      <c r="DC82" s="3"/>
      <c r="DD82" s="3"/>
      <c r="DE82" s="3"/>
      <c r="DF82" s="3"/>
      <c r="DG82" s="3"/>
      <c r="DH82" s="3"/>
      <c r="DI82" s="3"/>
      <c r="DJ82" s="3"/>
      <c r="DK82" s="3"/>
      <c r="DL82" s="3"/>
      <c r="DM82" s="3"/>
    </row>
    <row r="83" spans="12:117">
      <c r="O83" s="3">
        <f t="shared" si="42"/>
        <v>5</v>
      </c>
      <c r="P83" s="3">
        <f t="shared" si="43"/>
        <v>5</v>
      </c>
      <c r="Q83" s="3">
        <v>0</v>
      </c>
      <c r="R83" s="3">
        <v>0</v>
      </c>
      <c r="AP83" s="3">
        <f t="shared" si="44"/>
        <v>5</v>
      </c>
      <c r="AQ83" s="3">
        <f t="shared" si="45"/>
        <v>5</v>
      </c>
      <c r="AR83" s="3">
        <v>0</v>
      </c>
      <c r="AS83" s="3">
        <v>0</v>
      </c>
      <c r="CK83" s="3"/>
      <c r="CL83" s="3"/>
      <c r="CM83" s="3"/>
      <c r="CN83" s="3"/>
      <c r="CS83" s="3"/>
      <c r="CT83" s="3"/>
      <c r="CU83" s="3"/>
      <c r="CV83" s="3">
        <f t="shared" si="46"/>
        <v>5</v>
      </c>
      <c r="CW83" s="3">
        <f t="shared" si="47"/>
        <v>5</v>
      </c>
      <c r="CX83" s="3">
        <v>0</v>
      </c>
      <c r="CY83" s="3">
        <v>0</v>
      </c>
      <c r="CZ83" s="3"/>
      <c r="DA83" s="3"/>
      <c r="DB83" s="3"/>
      <c r="DC83" s="3"/>
      <c r="DD83" s="3"/>
      <c r="DE83" s="3"/>
      <c r="DF83" s="3"/>
      <c r="DG83" s="3"/>
      <c r="DH83" s="3"/>
      <c r="DI83" s="3"/>
      <c r="DJ83" s="3"/>
      <c r="DK83" s="3"/>
      <c r="DL83" s="3"/>
      <c r="DM83" s="3"/>
    </row>
    <row r="84" spans="12:117">
      <c r="O84" s="3">
        <f t="shared" si="42"/>
        <v>5.25</v>
      </c>
      <c r="P84" s="3">
        <f t="shared" si="43"/>
        <v>5</v>
      </c>
      <c r="Q84" s="3">
        <v>0</v>
      </c>
      <c r="R84" s="3">
        <v>0</v>
      </c>
      <c r="AP84" s="3">
        <f t="shared" si="44"/>
        <v>5.25</v>
      </c>
      <c r="AQ84" s="3">
        <f t="shared" si="45"/>
        <v>5</v>
      </c>
      <c r="AR84" s="3">
        <v>0</v>
      </c>
      <c r="AS84" s="3">
        <v>0</v>
      </c>
      <c r="CK84" s="3"/>
      <c r="CL84" s="3"/>
      <c r="CM84" s="3"/>
      <c r="CN84" s="3"/>
      <c r="CS84" s="3"/>
      <c r="CT84" s="3"/>
      <c r="CU84" s="3"/>
      <c r="CV84" s="3">
        <f t="shared" si="46"/>
        <v>5.25</v>
      </c>
      <c r="CW84" s="3">
        <f t="shared" si="47"/>
        <v>5</v>
      </c>
      <c r="CX84" s="3">
        <v>0</v>
      </c>
      <c r="CY84" s="3">
        <v>0</v>
      </c>
      <c r="CZ84" s="3"/>
      <c r="DA84" s="3"/>
      <c r="DB84" s="3"/>
      <c r="DC84" s="3"/>
      <c r="DD84" s="3"/>
      <c r="DE84" s="3"/>
      <c r="DF84" s="3"/>
      <c r="DG84" s="3"/>
      <c r="DH84" s="3"/>
      <c r="DI84" s="3"/>
      <c r="DJ84" s="3"/>
      <c r="DK84" s="3"/>
      <c r="DL84" s="3"/>
      <c r="DM84" s="3"/>
    </row>
    <row r="85" spans="12:117">
      <c r="O85" s="3">
        <f t="shared" si="42"/>
        <v>5.5</v>
      </c>
      <c r="P85" s="3">
        <f t="shared" si="43"/>
        <v>5</v>
      </c>
      <c r="Q85" s="3">
        <v>0</v>
      </c>
      <c r="R85" s="3">
        <v>0</v>
      </c>
      <c r="AP85" s="3">
        <f t="shared" si="44"/>
        <v>5.5</v>
      </c>
      <c r="AQ85" s="3">
        <f t="shared" si="45"/>
        <v>5</v>
      </c>
      <c r="AR85" s="3">
        <v>0</v>
      </c>
      <c r="AS85" s="3">
        <v>0</v>
      </c>
      <c r="CK85" s="3"/>
      <c r="CL85" s="3"/>
      <c r="CM85" s="3"/>
      <c r="CN85" s="3"/>
      <c r="CS85" s="3"/>
      <c r="CT85" s="3"/>
      <c r="CU85" s="3"/>
      <c r="CV85" s="3">
        <f t="shared" si="46"/>
        <v>5.5</v>
      </c>
      <c r="CW85" s="3">
        <f t="shared" si="47"/>
        <v>5</v>
      </c>
      <c r="CX85" s="3">
        <v>0</v>
      </c>
      <c r="CY85" s="3">
        <v>0</v>
      </c>
      <c r="CZ85" s="3"/>
      <c r="DA85" s="3"/>
      <c r="DB85" s="3"/>
      <c r="DC85" s="3"/>
      <c r="DD85" s="3"/>
      <c r="DE85" s="3"/>
      <c r="DF85" s="3"/>
      <c r="DG85" s="3"/>
      <c r="DH85" s="3"/>
      <c r="DI85" s="3"/>
      <c r="DJ85" s="3"/>
      <c r="DK85" s="3"/>
      <c r="DL85" s="3"/>
      <c r="DM85" s="3"/>
    </row>
    <row r="86" spans="12:117">
      <c r="O86" s="3">
        <f t="shared" si="42"/>
        <v>5.75</v>
      </c>
      <c r="P86" s="3">
        <f t="shared" si="43"/>
        <v>5</v>
      </c>
      <c r="Q86" s="3">
        <v>0</v>
      </c>
      <c r="R86" s="3">
        <v>0</v>
      </c>
      <c r="AP86" s="3">
        <f t="shared" si="44"/>
        <v>5.75</v>
      </c>
      <c r="AQ86" s="3">
        <f t="shared" si="45"/>
        <v>5</v>
      </c>
      <c r="AR86" s="3">
        <v>0</v>
      </c>
      <c r="AS86" s="3">
        <v>0</v>
      </c>
      <c r="CK86" s="3"/>
      <c r="CL86" s="3"/>
      <c r="CM86" s="3"/>
      <c r="CN86" s="3"/>
      <c r="CS86" s="3"/>
      <c r="CT86" s="3"/>
      <c r="CU86" s="3"/>
      <c r="CV86" s="3">
        <f t="shared" si="46"/>
        <v>5.75</v>
      </c>
      <c r="CW86" s="3">
        <f t="shared" si="47"/>
        <v>5</v>
      </c>
      <c r="CX86" s="3">
        <v>0</v>
      </c>
      <c r="CY86" s="3">
        <v>0</v>
      </c>
      <c r="CZ86" s="3"/>
      <c r="DA86" s="3"/>
      <c r="DB86" s="3"/>
      <c r="DC86" s="3"/>
      <c r="DD86" s="3"/>
      <c r="DE86" s="3"/>
      <c r="DF86" s="3"/>
      <c r="DG86" s="3"/>
      <c r="DH86" s="3"/>
      <c r="DI86" s="3"/>
      <c r="DJ86" s="3"/>
      <c r="DK86" s="3"/>
      <c r="DL86" s="3"/>
      <c r="DM86" s="3"/>
    </row>
    <row r="87" spans="12:117">
      <c r="O87" s="3">
        <f t="shared" si="42"/>
        <v>6</v>
      </c>
      <c r="P87" s="3">
        <f t="shared" si="43"/>
        <v>5</v>
      </c>
      <c r="Q87" s="3">
        <v>0</v>
      </c>
      <c r="R87" s="3">
        <v>0</v>
      </c>
      <c r="AP87" s="3">
        <f t="shared" si="44"/>
        <v>6</v>
      </c>
      <c r="AQ87" s="3">
        <f t="shared" si="45"/>
        <v>5</v>
      </c>
      <c r="AR87" s="3">
        <v>0</v>
      </c>
      <c r="AS87" s="3">
        <v>0</v>
      </c>
      <c r="CK87" s="3"/>
      <c r="CL87" s="3"/>
      <c r="CM87" s="3"/>
      <c r="CN87" s="3"/>
      <c r="CS87" s="3"/>
      <c r="CT87" s="3"/>
      <c r="CU87" s="3"/>
      <c r="CV87" s="3">
        <f t="shared" si="46"/>
        <v>6</v>
      </c>
      <c r="CW87" s="3">
        <f t="shared" si="47"/>
        <v>5</v>
      </c>
      <c r="CX87" s="3">
        <v>0</v>
      </c>
      <c r="CY87" s="3">
        <v>0</v>
      </c>
      <c r="CZ87" s="3"/>
      <c r="DA87" s="3"/>
      <c r="DB87" s="3"/>
      <c r="DC87" s="3"/>
      <c r="DD87" s="3"/>
      <c r="DE87" s="3"/>
      <c r="DF87" s="3"/>
      <c r="DG87" s="3"/>
      <c r="DH87" s="3"/>
      <c r="DI87" s="3"/>
      <c r="DJ87" s="3"/>
      <c r="DK87" s="3"/>
      <c r="DL87" s="3"/>
      <c r="DM87" s="3"/>
    </row>
    <row r="88" spans="12:117">
      <c r="L88" s="24" t="s">
        <v>102</v>
      </c>
      <c r="M88" s="23"/>
      <c r="N88" s="23"/>
      <c r="O88" s="23">
        <f t="shared" si="42"/>
        <v>6.25</v>
      </c>
      <c r="P88" s="3">
        <f t="shared" si="43"/>
        <v>6</v>
      </c>
      <c r="Q88" s="3">
        <v>0</v>
      </c>
      <c r="R88" s="3">
        <v>4</v>
      </c>
      <c r="AM88" s="24" t="s">
        <v>102</v>
      </c>
      <c r="AN88" s="23"/>
      <c r="AO88" s="23"/>
      <c r="AP88" s="23">
        <f t="shared" si="44"/>
        <v>6.25</v>
      </c>
      <c r="AQ88" s="3">
        <f t="shared" si="45"/>
        <v>6</v>
      </c>
      <c r="AR88" s="3">
        <v>0</v>
      </c>
      <c r="AS88" s="3">
        <v>4</v>
      </c>
      <c r="CK88" s="3"/>
      <c r="CL88" s="3"/>
      <c r="CM88" s="3"/>
      <c r="CN88" s="3"/>
      <c r="CS88" s="24" t="s">
        <v>102</v>
      </c>
      <c r="CT88" s="23"/>
      <c r="CU88" s="23"/>
      <c r="CV88" s="23">
        <f t="shared" si="46"/>
        <v>6.25</v>
      </c>
      <c r="CW88" s="3">
        <f t="shared" si="47"/>
        <v>6</v>
      </c>
      <c r="CX88" s="3">
        <v>0</v>
      </c>
      <c r="CY88" s="3">
        <v>4</v>
      </c>
      <c r="CZ88" s="3"/>
      <c r="DA88" s="3"/>
      <c r="DB88" s="3"/>
      <c r="DC88" s="3"/>
      <c r="DD88" s="3"/>
      <c r="DE88" s="3"/>
      <c r="DF88" s="3"/>
      <c r="DG88" s="3"/>
      <c r="DH88" s="3"/>
      <c r="DI88" s="3"/>
      <c r="DJ88" s="3"/>
      <c r="DK88" s="3"/>
      <c r="DL88" s="3"/>
      <c r="DM88" s="3"/>
    </row>
    <row r="89" spans="12:117">
      <c r="O89" s="3">
        <f t="shared" si="42"/>
        <v>6.5</v>
      </c>
      <c r="P89" s="3">
        <f t="shared" si="43"/>
        <v>7</v>
      </c>
      <c r="Q89" s="3">
        <v>0.5</v>
      </c>
      <c r="R89" s="3">
        <v>4</v>
      </c>
      <c r="AP89" s="3">
        <f t="shared" si="44"/>
        <v>6.5</v>
      </c>
      <c r="AQ89" s="3">
        <f t="shared" si="45"/>
        <v>7</v>
      </c>
      <c r="AR89" s="3">
        <v>0.5</v>
      </c>
      <c r="AS89" s="3">
        <v>4</v>
      </c>
      <c r="CK89" s="3"/>
      <c r="CL89" s="3"/>
      <c r="CM89" s="3"/>
      <c r="CN89" s="3"/>
      <c r="CS89" s="3"/>
      <c r="CT89" s="3"/>
      <c r="CU89" s="3"/>
      <c r="CV89" s="3">
        <f t="shared" si="46"/>
        <v>6.5</v>
      </c>
      <c r="CW89" s="3">
        <f t="shared" si="47"/>
        <v>7</v>
      </c>
      <c r="CX89" s="3">
        <v>0.5</v>
      </c>
      <c r="CY89" s="3">
        <v>4</v>
      </c>
      <c r="CZ89" s="3"/>
      <c r="DA89" s="3"/>
      <c r="DB89" s="3"/>
      <c r="DC89" s="3"/>
      <c r="DD89" s="3"/>
      <c r="DE89" s="3"/>
      <c r="DF89" s="3"/>
      <c r="DG89" s="3"/>
      <c r="DH89" s="3"/>
      <c r="DI89" s="3"/>
      <c r="DJ89" s="3"/>
      <c r="DK89" s="3"/>
      <c r="DL89" s="3"/>
      <c r="DM89" s="3"/>
    </row>
    <row r="90" spans="12:117">
      <c r="O90" s="3">
        <f t="shared" si="42"/>
        <v>6.75</v>
      </c>
      <c r="P90" s="3">
        <f t="shared" si="43"/>
        <v>8</v>
      </c>
      <c r="Q90" s="3">
        <v>1</v>
      </c>
      <c r="R90" s="3">
        <v>4</v>
      </c>
      <c r="AP90" s="3">
        <f t="shared" si="44"/>
        <v>6.75</v>
      </c>
      <c r="AQ90" s="3">
        <f t="shared" si="45"/>
        <v>8</v>
      </c>
      <c r="AR90" s="3">
        <v>1</v>
      </c>
      <c r="AS90" s="3">
        <v>4</v>
      </c>
      <c r="CK90" s="3"/>
      <c r="CL90" s="3"/>
      <c r="CM90" s="3"/>
      <c r="CN90" s="3"/>
      <c r="CS90" s="3"/>
      <c r="CT90" s="3"/>
      <c r="CU90" s="3"/>
      <c r="CV90" s="3">
        <f t="shared" si="46"/>
        <v>6.75</v>
      </c>
      <c r="CW90" s="3">
        <f t="shared" si="47"/>
        <v>8</v>
      </c>
      <c r="CX90" s="3">
        <v>1</v>
      </c>
      <c r="CY90" s="3">
        <v>4</v>
      </c>
      <c r="CZ90" s="3"/>
      <c r="DA90" s="3"/>
      <c r="DB90" s="3"/>
      <c r="DC90" s="3"/>
      <c r="DD90" s="3"/>
      <c r="DE90" s="3"/>
      <c r="DF90" s="3"/>
      <c r="DG90" s="3"/>
      <c r="DH90" s="3"/>
      <c r="DI90" s="3"/>
      <c r="DJ90" s="3"/>
      <c r="DK90" s="3"/>
      <c r="DL90" s="3"/>
      <c r="DM90" s="3"/>
    </row>
    <row r="91" spans="12:117">
      <c r="O91" s="3">
        <f t="shared" si="42"/>
        <v>7</v>
      </c>
      <c r="P91" s="3">
        <f t="shared" si="43"/>
        <v>9</v>
      </c>
      <c r="Q91" s="3">
        <v>1.5</v>
      </c>
      <c r="R91" s="3">
        <v>4</v>
      </c>
      <c r="AP91" s="3">
        <f t="shared" si="44"/>
        <v>7</v>
      </c>
      <c r="AQ91" s="3">
        <f t="shared" si="45"/>
        <v>9</v>
      </c>
      <c r="AR91" s="3">
        <v>1.5</v>
      </c>
      <c r="AS91" s="3">
        <v>4</v>
      </c>
      <c r="CK91" s="3"/>
      <c r="CL91" s="3"/>
      <c r="CM91" s="3"/>
      <c r="CN91" s="3"/>
      <c r="CS91" s="3"/>
      <c r="CT91" s="3"/>
      <c r="CU91" s="3"/>
      <c r="CV91" s="3">
        <f t="shared" si="46"/>
        <v>7</v>
      </c>
      <c r="CW91" s="3">
        <f t="shared" si="47"/>
        <v>9</v>
      </c>
      <c r="CX91" s="3">
        <v>1.5</v>
      </c>
      <c r="CY91" s="3">
        <v>4</v>
      </c>
      <c r="CZ91" s="3"/>
      <c r="DA91" s="3"/>
      <c r="DB91" s="3"/>
      <c r="DC91" s="3"/>
      <c r="DD91" s="3"/>
      <c r="DE91" s="3"/>
      <c r="DF91" s="3"/>
      <c r="DG91" s="3"/>
      <c r="DH91" s="3"/>
      <c r="DI91" s="3"/>
      <c r="DJ91" s="3"/>
      <c r="DK91" s="3"/>
      <c r="DL91" s="3"/>
      <c r="DM91" s="3"/>
    </row>
    <row r="92" spans="12:117">
      <c r="O92" s="3">
        <f t="shared" si="42"/>
        <v>7.25</v>
      </c>
      <c r="P92" s="3">
        <f t="shared" si="43"/>
        <v>10</v>
      </c>
      <c r="Q92" s="3">
        <v>2</v>
      </c>
      <c r="R92" s="3">
        <v>4</v>
      </c>
      <c r="AP92" s="3">
        <f t="shared" si="44"/>
        <v>7.25</v>
      </c>
      <c r="AQ92" s="3">
        <f t="shared" si="45"/>
        <v>10</v>
      </c>
      <c r="AR92" s="3">
        <v>2</v>
      </c>
      <c r="AS92" s="3">
        <v>4</v>
      </c>
      <c r="CK92" s="3"/>
      <c r="CL92" s="3"/>
      <c r="CM92" s="3"/>
      <c r="CN92" s="3"/>
      <c r="CS92" s="3"/>
      <c r="CT92" s="3"/>
      <c r="CU92" s="3"/>
      <c r="CV92" s="3">
        <f t="shared" si="46"/>
        <v>7.25</v>
      </c>
      <c r="CW92" s="3">
        <f t="shared" si="47"/>
        <v>10</v>
      </c>
      <c r="CX92" s="3">
        <v>2</v>
      </c>
      <c r="CY92" s="3">
        <v>4</v>
      </c>
      <c r="CZ92" s="3"/>
      <c r="DA92" s="3"/>
      <c r="DB92" s="3"/>
      <c r="DC92" s="3"/>
      <c r="DD92" s="3"/>
      <c r="DE92" s="3"/>
      <c r="DF92" s="3"/>
      <c r="DG92" s="3"/>
      <c r="DH92" s="3"/>
      <c r="DI92" s="3"/>
      <c r="DJ92" s="3"/>
      <c r="DK92" s="3"/>
      <c r="DL92" s="3"/>
      <c r="DM92" s="3"/>
    </row>
    <row r="93" spans="12:117">
      <c r="O93" s="3">
        <f t="shared" si="42"/>
        <v>7.5</v>
      </c>
      <c r="P93" s="3">
        <f t="shared" si="43"/>
        <v>11</v>
      </c>
      <c r="Q93" s="3">
        <v>2.5</v>
      </c>
      <c r="R93" s="3">
        <v>4</v>
      </c>
      <c r="AP93" s="3">
        <f t="shared" si="44"/>
        <v>7.5</v>
      </c>
      <c r="AQ93" s="3">
        <f t="shared" si="45"/>
        <v>11</v>
      </c>
      <c r="AR93" s="3">
        <v>2.5</v>
      </c>
      <c r="AS93" s="3">
        <v>4</v>
      </c>
      <c r="CK93" s="3"/>
      <c r="CL93" s="3"/>
      <c r="CM93" s="3"/>
      <c r="CN93" s="3"/>
      <c r="CS93" s="3"/>
      <c r="CT93" s="3"/>
      <c r="CU93" s="3"/>
      <c r="CV93" s="3">
        <f t="shared" si="46"/>
        <v>7.5</v>
      </c>
      <c r="CW93" s="3">
        <f t="shared" si="47"/>
        <v>11</v>
      </c>
      <c r="CX93" s="3">
        <v>2.5</v>
      </c>
      <c r="CY93" s="3">
        <v>4</v>
      </c>
      <c r="CZ93" s="3"/>
      <c r="DA93" s="3"/>
      <c r="DB93" s="3"/>
      <c r="DC93" s="3"/>
      <c r="DD93" s="3"/>
      <c r="DE93" s="3"/>
      <c r="DF93" s="3"/>
      <c r="DG93" s="3"/>
      <c r="DH93" s="3"/>
      <c r="DI93" s="3"/>
      <c r="DJ93" s="3"/>
      <c r="DK93" s="3"/>
      <c r="DL93" s="3"/>
      <c r="DM93" s="3"/>
    </row>
    <row r="94" spans="12:117">
      <c r="O94" s="3">
        <f t="shared" si="42"/>
        <v>7.75</v>
      </c>
      <c r="P94" s="3">
        <f t="shared" si="43"/>
        <v>12</v>
      </c>
      <c r="Q94" s="3">
        <v>3</v>
      </c>
      <c r="R94" s="3">
        <v>4</v>
      </c>
      <c r="AP94" s="3">
        <f t="shared" si="44"/>
        <v>7.75</v>
      </c>
      <c r="AQ94" s="3">
        <f t="shared" si="45"/>
        <v>12</v>
      </c>
      <c r="AR94" s="3">
        <v>3</v>
      </c>
      <c r="AS94" s="3">
        <v>4</v>
      </c>
      <c r="CK94" s="3"/>
      <c r="CL94" s="3"/>
      <c r="CM94" s="3"/>
      <c r="CN94" s="3"/>
      <c r="CS94" s="3"/>
      <c r="CT94" s="3"/>
      <c r="CU94" s="3"/>
      <c r="CV94" s="3">
        <f t="shared" si="46"/>
        <v>7.75</v>
      </c>
      <c r="CW94" s="3">
        <f t="shared" si="47"/>
        <v>12</v>
      </c>
      <c r="CX94" s="3">
        <v>3</v>
      </c>
      <c r="CY94" s="3">
        <v>4</v>
      </c>
      <c r="CZ94" s="3"/>
      <c r="DA94" s="3"/>
      <c r="DB94" s="3"/>
      <c r="DC94" s="3"/>
      <c r="DD94" s="3"/>
      <c r="DE94" s="3"/>
      <c r="DF94" s="3"/>
      <c r="DG94" s="3"/>
      <c r="DH94" s="3"/>
      <c r="DI94" s="3"/>
      <c r="DJ94" s="3"/>
      <c r="DK94" s="3"/>
      <c r="DL94" s="3"/>
      <c r="DM94" s="3"/>
    </row>
    <row r="95" spans="12:117">
      <c r="O95" s="3">
        <f t="shared" si="42"/>
        <v>8</v>
      </c>
      <c r="P95" s="3">
        <f t="shared" si="43"/>
        <v>13</v>
      </c>
      <c r="Q95" s="3">
        <v>3.5</v>
      </c>
      <c r="R95" s="3">
        <v>4</v>
      </c>
      <c r="AP95" s="3">
        <f t="shared" si="44"/>
        <v>8</v>
      </c>
      <c r="AQ95" s="3">
        <f t="shared" si="45"/>
        <v>13</v>
      </c>
      <c r="AR95" s="3">
        <v>3.5</v>
      </c>
      <c r="AS95" s="3">
        <v>4</v>
      </c>
      <c r="CK95" s="3"/>
      <c r="CL95" s="3"/>
      <c r="CM95" s="3"/>
      <c r="CN95" s="3"/>
      <c r="CS95" s="3"/>
      <c r="CT95" s="3"/>
      <c r="CU95" s="3"/>
      <c r="CV95" s="3">
        <f t="shared" si="46"/>
        <v>8</v>
      </c>
      <c r="CW95" s="3">
        <f t="shared" si="47"/>
        <v>13</v>
      </c>
      <c r="CX95" s="3">
        <v>3.5</v>
      </c>
      <c r="CY95" s="3">
        <v>4</v>
      </c>
      <c r="CZ95" s="3"/>
      <c r="DA95" s="3"/>
      <c r="DB95" s="3"/>
      <c r="DC95" s="3"/>
      <c r="DD95" s="3"/>
      <c r="DE95" s="3"/>
      <c r="DF95" s="3"/>
      <c r="DG95" s="3"/>
      <c r="DH95" s="3"/>
      <c r="DI95" s="3"/>
      <c r="DJ95" s="3"/>
      <c r="DK95" s="3"/>
      <c r="DL95" s="3"/>
      <c r="DM95" s="3"/>
    </row>
    <row r="96" spans="12:117">
      <c r="L96" s="24" t="s">
        <v>99</v>
      </c>
      <c r="M96" s="23"/>
      <c r="N96" s="23"/>
      <c r="O96" s="3">
        <f t="shared" si="42"/>
        <v>8.25</v>
      </c>
      <c r="P96" s="3">
        <f t="shared" si="43"/>
        <v>14</v>
      </c>
      <c r="Q96" s="23">
        <v>4</v>
      </c>
      <c r="R96" s="3">
        <v>4</v>
      </c>
      <c r="AM96" s="24" t="s">
        <v>99</v>
      </c>
      <c r="AN96" s="23"/>
      <c r="AO96" s="23"/>
      <c r="AP96" s="3">
        <f t="shared" si="44"/>
        <v>8.25</v>
      </c>
      <c r="AQ96" s="3">
        <f t="shared" si="45"/>
        <v>14</v>
      </c>
      <c r="AR96" s="23">
        <v>4</v>
      </c>
      <c r="AS96" s="3">
        <v>4</v>
      </c>
      <c r="CK96" s="3"/>
      <c r="CL96" s="3"/>
      <c r="CM96" s="3"/>
      <c r="CN96" s="3"/>
      <c r="CS96" s="24" t="s">
        <v>99</v>
      </c>
      <c r="CT96" s="23"/>
      <c r="CU96" s="23"/>
      <c r="CV96" s="3">
        <f t="shared" si="46"/>
        <v>8.25</v>
      </c>
      <c r="CW96" s="3">
        <f t="shared" si="47"/>
        <v>14</v>
      </c>
      <c r="CX96" s="23">
        <v>4</v>
      </c>
      <c r="CY96" s="3">
        <v>4</v>
      </c>
      <c r="CZ96" s="3"/>
      <c r="DA96" s="3"/>
      <c r="DB96" s="3"/>
      <c r="DC96" s="3"/>
      <c r="DD96" s="3"/>
      <c r="DE96" s="3"/>
      <c r="DF96" s="3"/>
      <c r="DG96" s="3"/>
      <c r="DH96" s="3"/>
      <c r="DI96" s="3"/>
      <c r="DJ96" s="3"/>
      <c r="DK96" s="3"/>
      <c r="DL96" s="3"/>
      <c r="DM96" s="3"/>
    </row>
    <row r="97" spans="15:117">
      <c r="O97" s="3">
        <f t="shared" si="42"/>
        <v>8.5</v>
      </c>
      <c r="P97" s="3">
        <f t="shared" si="43"/>
        <v>14.5</v>
      </c>
      <c r="Q97" s="3">
        <f>Q96+0.2</f>
        <v>4.2</v>
      </c>
      <c r="R97" s="3">
        <v>2</v>
      </c>
      <c r="AP97" s="3">
        <f t="shared" si="44"/>
        <v>8.5</v>
      </c>
      <c r="AQ97" s="3">
        <f t="shared" si="45"/>
        <v>14.5</v>
      </c>
      <c r="AR97" s="3">
        <f>AR96+0.3</f>
        <v>4.3</v>
      </c>
      <c r="AS97" s="3">
        <v>2</v>
      </c>
      <c r="CK97" s="3"/>
      <c r="CL97" s="3"/>
      <c r="CM97" s="3"/>
      <c r="CN97" s="3"/>
      <c r="CS97" s="3"/>
      <c r="CT97" s="3"/>
      <c r="CU97" s="3"/>
      <c r="CV97" s="3">
        <f t="shared" si="46"/>
        <v>8.5</v>
      </c>
      <c r="CW97" s="3">
        <f t="shared" si="47"/>
        <v>14.5</v>
      </c>
      <c r="CX97" s="3">
        <f>CX96+0.3</f>
        <v>4.3</v>
      </c>
      <c r="CY97" s="3">
        <v>2</v>
      </c>
      <c r="CZ97" s="3"/>
      <c r="DA97" s="3"/>
      <c r="DB97" s="3"/>
      <c r="DC97" s="3"/>
      <c r="DD97" s="3"/>
      <c r="DE97" s="3"/>
      <c r="DF97" s="3"/>
      <c r="DG97" s="3"/>
      <c r="DH97" s="3"/>
      <c r="DI97" s="3"/>
      <c r="DJ97" s="3"/>
      <c r="DK97" s="3"/>
      <c r="DL97" s="3"/>
      <c r="DM97" s="3"/>
    </row>
    <row r="98" spans="15:117">
      <c r="O98" s="3">
        <f t="shared" si="42"/>
        <v>8.75</v>
      </c>
      <c r="P98" s="3">
        <f t="shared" si="43"/>
        <v>15</v>
      </c>
      <c r="Q98" s="3">
        <f t="shared" ref="Q98:Q106" si="48">Q97+0.2</f>
        <v>4.4000000000000004</v>
      </c>
      <c r="R98" s="3">
        <v>2</v>
      </c>
      <c r="AP98" s="3">
        <f t="shared" si="44"/>
        <v>8.75</v>
      </c>
      <c r="AQ98" s="3">
        <f t="shared" si="45"/>
        <v>15</v>
      </c>
      <c r="AR98" s="3">
        <f t="shared" ref="AR98:AR106" si="49">AR97+0.3</f>
        <v>4.5999999999999996</v>
      </c>
      <c r="AS98" s="3">
        <v>2</v>
      </c>
      <c r="CK98" s="3"/>
      <c r="CL98" s="3"/>
      <c r="CM98" s="3"/>
      <c r="CN98" s="3"/>
      <c r="CS98" s="3"/>
      <c r="CT98" s="3"/>
      <c r="CU98" s="3"/>
      <c r="CV98" s="3">
        <f t="shared" si="46"/>
        <v>8.75</v>
      </c>
      <c r="CW98" s="3">
        <f t="shared" si="47"/>
        <v>15</v>
      </c>
      <c r="CX98" s="3">
        <f t="shared" ref="CX98:CX106" si="50">CX97+0.3</f>
        <v>4.5999999999999996</v>
      </c>
      <c r="CY98" s="3">
        <v>2</v>
      </c>
      <c r="CZ98" s="3"/>
      <c r="DA98" s="3"/>
      <c r="DB98" s="3"/>
      <c r="DC98" s="3"/>
      <c r="DD98" s="3"/>
      <c r="DE98" s="3"/>
      <c r="DF98" s="3"/>
      <c r="DG98" s="3"/>
      <c r="DH98" s="3"/>
      <c r="DI98" s="3"/>
      <c r="DJ98" s="3"/>
      <c r="DK98" s="3"/>
      <c r="DL98" s="3"/>
      <c r="DM98" s="3"/>
    </row>
    <row r="99" spans="15:117">
      <c r="O99" s="3">
        <f t="shared" si="42"/>
        <v>9</v>
      </c>
      <c r="P99" s="3">
        <f t="shared" si="43"/>
        <v>15.5</v>
      </c>
      <c r="Q99" s="3">
        <f t="shared" si="48"/>
        <v>4.6000000000000005</v>
      </c>
      <c r="R99" s="3">
        <v>2</v>
      </c>
      <c r="AP99" s="3">
        <f t="shared" si="44"/>
        <v>9</v>
      </c>
      <c r="AQ99" s="3">
        <f t="shared" si="45"/>
        <v>15.5</v>
      </c>
      <c r="AR99" s="3">
        <f t="shared" si="49"/>
        <v>4.8999999999999995</v>
      </c>
      <c r="AS99" s="3">
        <v>2</v>
      </c>
      <c r="CK99" s="3"/>
      <c r="CL99" s="3"/>
      <c r="CM99" s="3"/>
      <c r="CN99" s="3"/>
      <c r="CS99" s="3"/>
      <c r="CT99" s="3"/>
      <c r="CU99" s="3"/>
      <c r="CV99" s="3">
        <f t="shared" si="46"/>
        <v>9</v>
      </c>
      <c r="CW99" s="3">
        <f t="shared" si="47"/>
        <v>15.5</v>
      </c>
      <c r="CX99" s="3">
        <f t="shared" si="50"/>
        <v>4.8999999999999995</v>
      </c>
      <c r="CY99" s="3">
        <v>2</v>
      </c>
      <c r="CZ99" s="3"/>
      <c r="DA99" s="3"/>
      <c r="DB99" s="3"/>
      <c r="DC99" s="3"/>
      <c r="DD99" s="3"/>
      <c r="DE99" s="3"/>
      <c r="DF99" s="3"/>
      <c r="DG99" s="3"/>
      <c r="DH99" s="3"/>
      <c r="DI99" s="3"/>
      <c r="DJ99" s="3"/>
      <c r="DK99" s="3"/>
      <c r="DL99" s="3"/>
      <c r="DM99" s="3"/>
    </row>
    <row r="100" spans="15:117">
      <c r="O100" s="3">
        <f t="shared" si="42"/>
        <v>9.25</v>
      </c>
      <c r="P100" s="3">
        <f t="shared" si="43"/>
        <v>16</v>
      </c>
      <c r="Q100" s="3">
        <f t="shared" si="48"/>
        <v>4.8000000000000007</v>
      </c>
      <c r="R100" s="3">
        <v>2</v>
      </c>
      <c r="AP100" s="3">
        <f t="shared" si="44"/>
        <v>9.25</v>
      </c>
      <c r="AQ100" s="3">
        <f t="shared" si="45"/>
        <v>16</v>
      </c>
      <c r="AR100" s="3">
        <f t="shared" si="49"/>
        <v>5.1999999999999993</v>
      </c>
      <c r="AS100" s="3">
        <v>2</v>
      </c>
      <c r="CK100" s="3"/>
      <c r="CL100" s="3"/>
      <c r="CM100" s="3"/>
      <c r="CN100" s="3"/>
      <c r="CS100" s="3"/>
      <c r="CT100" s="3"/>
      <c r="CU100" s="3"/>
      <c r="CV100" s="3">
        <f t="shared" si="46"/>
        <v>9.25</v>
      </c>
      <c r="CW100" s="3">
        <f t="shared" si="47"/>
        <v>16</v>
      </c>
      <c r="CX100" s="3">
        <f t="shared" si="50"/>
        <v>5.1999999999999993</v>
      </c>
      <c r="CY100" s="3">
        <v>2</v>
      </c>
      <c r="CZ100" s="3"/>
      <c r="DA100" s="3"/>
      <c r="DB100" s="3"/>
      <c r="DC100" s="3"/>
      <c r="DD100" s="3"/>
      <c r="DE100" s="3"/>
      <c r="DF100" s="3"/>
      <c r="DG100" s="3"/>
      <c r="DH100" s="3"/>
      <c r="DI100" s="3"/>
      <c r="DJ100" s="3"/>
      <c r="DK100" s="3"/>
      <c r="DL100" s="3"/>
      <c r="DM100" s="3"/>
    </row>
    <row r="101" spans="15:117">
      <c r="O101" s="3">
        <f t="shared" si="42"/>
        <v>9.5</v>
      </c>
      <c r="P101" s="3">
        <f t="shared" si="43"/>
        <v>16.5</v>
      </c>
      <c r="Q101" s="3">
        <f t="shared" si="48"/>
        <v>5.0000000000000009</v>
      </c>
      <c r="R101" s="3">
        <v>2</v>
      </c>
      <c r="AP101" s="3">
        <f t="shared" si="44"/>
        <v>9.5</v>
      </c>
      <c r="AQ101" s="3">
        <f t="shared" si="45"/>
        <v>16.5</v>
      </c>
      <c r="AR101" s="3">
        <f t="shared" si="49"/>
        <v>5.4999999999999991</v>
      </c>
      <c r="AS101" s="3">
        <v>2</v>
      </c>
      <c r="CK101" s="3"/>
      <c r="CL101" s="3"/>
      <c r="CM101" s="3"/>
      <c r="CN101" s="3"/>
      <c r="CS101" s="3"/>
      <c r="CT101" s="3"/>
      <c r="CU101" s="3"/>
      <c r="CV101" s="3">
        <f t="shared" si="46"/>
        <v>9.5</v>
      </c>
      <c r="CW101" s="3">
        <f t="shared" si="47"/>
        <v>16.5</v>
      </c>
      <c r="CX101" s="3">
        <f t="shared" si="50"/>
        <v>5.4999999999999991</v>
      </c>
      <c r="CY101" s="3">
        <v>2</v>
      </c>
      <c r="CZ101" s="3"/>
      <c r="DA101" s="3"/>
      <c r="DB101" s="3"/>
      <c r="DC101" s="3"/>
      <c r="DD101" s="3"/>
      <c r="DE101" s="3"/>
      <c r="DF101" s="3"/>
      <c r="DG101" s="3"/>
      <c r="DH101" s="3"/>
      <c r="DI101" s="3"/>
      <c r="DJ101" s="3"/>
      <c r="DK101" s="3"/>
      <c r="DL101" s="3"/>
      <c r="DM101" s="3"/>
    </row>
    <row r="102" spans="15:117">
      <c r="O102" s="3">
        <f t="shared" si="42"/>
        <v>9.75</v>
      </c>
      <c r="P102" s="3">
        <f t="shared" si="43"/>
        <v>17</v>
      </c>
      <c r="Q102" s="3">
        <f t="shared" si="48"/>
        <v>5.2000000000000011</v>
      </c>
      <c r="R102" s="3">
        <v>2</v>
      </c>
      <c r="AP102" s="3">
        <f t="shared" si="44"/>
        <v>9.75</v>
      </c>
      <c r="AQ102" s="3">
        <f t="shared" si="45"/>
        <v>17</v>
      </c>
      <c r="AR102" s="3">
        <f t="shared" si="49"/>
        <v>5.7999999999999989</v>
      </c>
      <c r="AS102" s="3">
        <v>2</v>
      </c>
      <c r="CK102" s="3"/>
      <c r="CL102" s="3"/>
      <c r="CM102" s="3"/>
      <c r="CN102" s="3"/>
      <c r="CS102" s="3"/>
      <c r="CT102" s="3"/>
      <c r="CU102" s="3"/>
      <c r="CV102" s="3">
        <f t="shared" si="46"/>
        <v>9.75</v>
      </c>
      <c r="CW102" s="3">
        <f t="shared" si="47"/>
        <v>17</v>
      </c>
      <c r="CX102" s="3">
        <f t="shared" si="50"/>
        <v>5.7999999999999989</v>
      </c>
      <c r="CY102" s="3">
        <v>2</v>
      </c>
      <c r="CZ102" s="3"/>
      <c r="DA102" s="3"/>
      <c r="DB102" s="3"/>
      <c r="DC102" s="3"/>
      <c r="DD102" s="3"/>
      <c r="DE102" s="3"/>
      <c r="DF102" s="3"/>
      <c r="DG102" s="3"/>
      <c r="DH102" s="3"/>
      <c r="DI102" s="3"/>
      <c r="DJ102" s="3"/>
      <c r="DK102" s="3"/>
      <c r="DL102" s="3"/>
      <c r="DM102" s="3"/>
    </row>
    <row r="103" spans="15:117">
      <c r="O103" s="3">
        <f t="shared" si="42"/>
        <v>10</v>
      </c>
      <c r="P103" s="3">
        <f t="shared" si="43"/>
        <v>17.5</v>
      </c>
      <c r="Q103" s="3">
        <f t="shared" si="48"/>
        <v>5.4000000000000012</v>
      </c>
      <c r="R103" s="3">
        <v>2</v>
      </c>
      <c r="AP103" s="3">
        <f t="shared" si="44"/>
        <v>10</v>
      </c>
      <c r="AQ103" s="3">
        <f t="shared" si="45"/>
        <v>17.5</v>
      </c>
      <c r="AR103" s="3">
        <f t="shared" si="49"/>
        <v>6.0999999999999988</v>
      </c>
      <c r="AS103" s="3">
        <v>2</v>
      </c>
      <c r="CK103" s="3"/>
      <c r="CL103" s="3"/>
      <c r="CM103" s="3"/>
      <c r="CN103" s="3"/>
      <c r="CS103" s="3"/>
      <c r="CT103" s="3"/>
      <c r="CU103" s="3"/>
      <c r="CV103" s="3">
        <f t="shared" si="46"/>
        <v>10</v>
      </c>
      <c r="CW103" s="3">
        <f t="shared" si="47"/>
        <v>17.5</v>
      </c>
      <c r="CX103" s="3">
        <f t="shared" si="50"/>
        <v>6.0999999999999988</v>
      </c>
      <c r="CY103" s="3">
        <v>2</v>
      </c>
      <c r="CZ103" s="3"/>
      <c r="DA103" s="3"/>
      <c r="DB103" s="3"/>
      <c r="DC103" s="3"/>
      <c r="DD103" s="3"/>
      <c r="DE103" s="3"/>
      <c r="DF103" s="3"/>
      <c r="DG103" s="3"/>
      <c r="DH103" s="3"/>
      <c r="DI103" s="3"/>
      <c r="DJ103" s="3"/>
      <c r="DK103" s="3"/>
      <c r="DL103" s="3"/>
      <c r="DM103" s="3"/>
    </row>
    <row r="104" spans="15:117">
      <c r="O104" s="3">
        <f t="shared" si="42"/>
        <v>10.25</v>
      </c>
      <c r="P104" s="3">
        <f t="shared" si="43"/>
        <v>18</v>
      </c>
      <c r="Q104" s="3">
        <f t="shared" si="48"/>
        <v>5.6000000000000014</v>
      </c>
      <c r="R104" s="3">
        <v>2</v>
      </c>
      <c r="AP104" s="3">
        <f t="shared" si="44"/>
        <v>10.25</v>
      </c>
      <c r="AQ104" s="3">
        <f t="shared" si="45"/>
        <v>18</v>
      </c>
      <c r="AR104" s="3">
        <f t="shared" si="49"/>
        <v>6.3999999999999986</v>
      </c>
      <c r="AS104" s="3">
        <v>2</v>
      </c>
      <c r="CK104" s="3"/>
      <c r="CL104" s="3"/>
      <c r="CM104" s="3"/>
      <c r="CN104" s="3"/>
      <c r="CS104" s="3"/>
      <c r="CT104" s="3"/>
      <c r="CU104" s="3"/>
      <c r="CV104" s="3">
        <f t="shared" si="46"/>
        <v>10.25</v>
      </c>
      <c r="CW104" s="3">
        <f t="shared" si="47"/>
        <v>18</v>
      </c>
      <c r="CX104" s="3">
        <f t="shared" si="50"/>
        <v>6.3999999999999986</v>
      </c>
      <c r="CY104" s="3">
        <v>2</v>
      </c>
      <c r="CZ104" s="3"/>
      <c r="DA104" s="3"/>
      <c r="DB104" s="3"/>
      <c r="DC104" s="3"/>
      <c r="DD104" s="3"/>
      <c r="DE104" s="3"/>
      <c r="DF104" s="3"/>
      <c r="DG104" s="3"/>
      <c r="DH104" s="3"/>
      <c r="DI104" s="3"/>
      <c r="DJ104" s="3"/>
      <c r="DK104" s="3"/>
      <c r="DL104" s="3"/>
      <c r="DM104" s="3"/>
    </row>
    <row r="105" spans="15:117">
      <c r="O105" s="3">
        <f t="shared" si="42"/>
        <v>10.5</v>
      </c>
      <c r="P105" s="3">
        <f t="shared" si="43"/>
        <v>18.5</v>
      </c>
      <c r="Q105" s="3">
        <f t="shared" si="48"/>
        <v>5.8000000000000016</v>
      </c>
      <c r="R105" s="3">
        <v>2</v>
      </c>
      <c r="AP105" s="3">
        <f t="shared" si="44"/>
        <v>10.5</v>
      </c>
      <c r="AQ105" s="3">
        <f t="shared" si="45"/>
        <v>18.5</v>
      </c>
      <c r="AR105" s="3">
        <f t="shared" si="49"/>
        <v>6.6999999999999984</v>
      </c>
      <c r="AS105" s="3">
        <v>2</v>
      </c>
      <c r="CK105" s="3"/>
      <c r="CL105" s="3"/>
      <c r="CM105" s="3"/>
      <c r="CN105" s="3"/>
      <c r="CS105" s="3"/>
      <c r="CT105" s="3"/>
      <c r="CU105" s="3"/>
      <c r="CV105" s="3">
        <f t="shared" si="46"/>
        <v>10.5</v>
      </c>
      <c r="CW105" s="3">
        <f t="shared" si="47"/>
        <v>18.5</v>
      </c>
      <c r="CX105" s="3">
        <f t="shared" si="50"/>
        <v>6.6999999999999984</v>
      </c>
      <c r="CY105" s="3">
        <v>2</v>
      </c>
      <c r="CZ105" s="3"/>
      <c r="DA105" s="3"/>
      <c r="DB105" s="3"/>
      <c r="DC105" s="3"/>
      <c r="DD105" s="3"/>
      <c r="DE105" s="3"/>
      <c r="DF105" s="3"/>
      <c r="DG105" s="3"/>
      <c r="DH105" s="3"/>
      <c r="DI105" s="3"/>
      <c r="DJ105" s="3"/>
      <c r="DK105" s="3"/>
      <c r="DL105" s="3"/>
      <c r="DM105" s="3"/>
    </row>
    <row r="106" spans="15:117">
      <c r="O106" s="3">
        <f t="shared" si="42"/>
        <v>10.75</v>
      </c>
      <c r="P106" s="3">
        <f t="shared" si="43"/>
        <v>19</v>
      </c>
      <c r="Q106" s="3">
        <f t="shared" si="48"/>
        <v>6.0000000000000018</v>
      </c>
      <c r="R106" s="3">
        <v>2</v>
      </c>
      <c r="AP106" s="3">
        <f t="shared" si="44"/>
        <v>10.75</v>
      </c>
      <c r="AQ106" s="3">
        <f t="shared" si="45"/>
        <v>19</v>
      </c>
      <c r="AR106" s="3">
        <f t="shared" si="49"/>
        <v>6.9999999999999982</v>
      </c>
      <c r="AS106" s="3">
        <v>2</v>
      </c>
      <c r="CK106" s="3"/>
      <c r="CL106" s="3"/>
      <c r="CM106" s="3"/>
      <c r="CN106" s="3"/>
      <c r="CS106" s="3"/>
      <c r="CT106" s="3"/>
      <c r="CU106" s="3"/>
      <c r="CV106" s="3">
        <f t="shared" si="46"/>
        <v>10.75</v>
      </c>
      <c r="CW106" s="3">
        <f t="shared" si="47"/>
        <v>19</v>
      </c>
      <c r="CX106" s="3">
        <f t="shared" si="50"/>
        <v>6.9999999999999982</v>
      </c>
      <c r="CY106" s="3">
        <v>2</v>
      </c>
      <c r="CZ106" s="3"/>
      <c r="DA106" s="3"/>
      <c r="DB106" s="3"/>
      <c r="DC106" s="3"/>
      <c r="DD106" s="3"/>
      <c r="DE106" s="3"/>
      <c r="DF106" s="3"/>
      <c r="DG106" s="3"/>
      <c r="DH106" s="3"/>
      <c r="DI106" s="3"/>
      <c r="DJ106" s="3"/>
      <c r="DK106" s="3"/>
      <c r="DL106" s="3"/>
      <c r="DM106" s="3"/>
    </row>
    <row r="107" spans="15:117">
      <c r="O107" s="3">
        <f t="shared" si="42"/>
        <v>11</v>
      </c>
      <c r="P107" s="3">
        <f t="shared" si="43"/>
        <v>19.5</v>
      </c>
      <c r="Q107" s="3">
        <f t="shared" ref="Q107:Q126" si="51">Q106+0.1</f>
        <v>6.1000000000000014</v>
      </c>
      <c r="R107" s="3">
        <v>2</v>
      </c>
      <c r="AP107" s="3">
        <f t="shared" si="44"/>
        <v>11</v>
      </c>
      <c r="AQ107" s="3">
        <f t="shared" si="45"/>
        <v>19.5</v>
      </c>
      <c r="AR107" s="3">
        <f>AR106+0.2</f>
        <v>7.1999999999999984</v>
      </c>
      <c r="AS107" s="3">
        <v>2</v>
      </c>
      <c r="CK107" s="3"/>
      <c r="CL107" s="3"/>
      <c r="CM107" s="3"/>
      <c r="CN107" s="3"/>
      <c r="CS107" s="3"/>
      <c r="CT107" s="3"/>
      <c r="CU107" s="3"/>
      <c r="CV107" s="3">
        <f t="shared" si="46"/>
        <v>11</v>
      </c>
      <c r="CW107" s="3">
        <f t="shared" si="47"/>
        <v>19.5</v>
      </c>
      <c r="CX107" s="3">
        <f>CX106+0.2</f>
        <v>7.1999999999999984</v>
      </c>
      <c r="CY107" s="3">
        <v>2</v>
      </c>
      <c r="CZ107" s="3"/>
      <c r="DA107" s="3"/>
      <c r="DB107" s="3"/>
      <c r="DC107" s="3"/>
      <c r="DD107" s="3"/>
      <c r="DE107" s="3"/>
      <c r="DF107" s="3"/>
      <c r="DG107" s="3"/>
      <c r="DH107" s="3"/>
      <c r="DI107" s="3"/>
      <c r="DJ107" s="3"/>
      <c r="DK107" s="3"/>
      <c r="DL107" s="3"/>
      <c r="DM107" s="3"/>
    </row>
    <row r="108" spans="15:117">
      <c r="O108" s="3">
        <f t="shared" si="42"/>
        <v>11.25</v>
      </c>
      <c r="P108" s="3">
        <f t="shared" si="43"/>
        <v>20</v>
      </c>
      <c r="Q108" s="3">
        <f t="shared" si="51"/>
        <v>6.2000000000000011</v>
      </c>
      <c r="R108" s="3">
        <v>2</v>
      </c>
      <c r="AP108" s="3">
        <f t="shared" si="44"/>
        <v>11.25</v>
      </c>
      <c r="AQ108" s="3">
        <f t="shared" si="45"/>
        <v>20</v>
      </c>
      <c r="AR108" s="3">
        <f t="shared" ref="AR108:AR115" si="52">AR107+0.2</f>
        <v>7.3999999999999986</v>
      </c>
      <c r="AS108" s="3">
        <v>2</v>
      </c>
      <c r="CK108" s="3"/>
      <c r="CL108" s="3"/>
      <c r="CM108" s="3"/>
      <c r="CN108" s="3"/>
      <c r="CS108" s="3"/>
      <c r="CT108" s="3"/>
      <c r="CU108" s="3"/>
      <c r="CV108" s="3">
        <f t="shared" si="46"/>
        <v>11.25</v>
      </c>
      <c r="CW108" s="3">
        <f t="shared" si="47"/>
        <v>20</v>
      </c>
      <c r="CX108" s="3">
        <f t="shared" ref="CX108:CX115" si="53">CX107+0.2</f>
        <v>7.3999999999999986</v>
      </c>
      <c r="CY108" s="3">
        <v>2</v>
      </c>
      <c r="CZ108" s="3"/>
      <c r="DA108" s="3"/>
      <c r="DB108" s="3"/>
      <c r="DC108" s="3"/>
      <c r="DD108" s="3"/>
      <c r="DE108" s="3"/>
      <c r="DF108" s="3"/>
      <c r="DG108" s="3"/>
      <c r="DH108" s="3"/>
      <c r="DI108" s="3"/>
      <c r="DJ108" s="3"/>
      <c r="DK108" s="3"/>
      <c r="DL108" s="3"/>
      <c r="DM108" s="3"/>
    </row>
    <row r="109" spans="15:117">
      <c r="O109" s="3">
        <f t="shared" si="42"/>
        <v>11.5</v>
      </c>
      <c r="P109" s="3">
        <f t="shared" si="43"/>
        <v>20.5</v>
      </c>
      <c r="Q109" s="3">
        <f t="shared" si="51"/>
        <v>6.3000000000000007</v>
      </c>
      <c r="R109" s="3">
        <v>2</v>
      </c>
      <c r="AP109" s="3">
        <f t="shared" si="44"/>
        <v>11.5</v>
      </c>
      <c r="AQ109" s="3">
        <f t="shared" si="45"/>
        <v>20.5</v>
      </c>
      <c r="AR109" s="3">
        <f t="shared" si="52"/>
        <v>7.5999999999999988</v>
      </c>
      <c r="AS109" s="3">
        <v>2</v>
      </c>
      <c r="CK109" s="3"/>
      <c r="CL109" s="3"/>
      <c r="CM109" s="3"/>
      <c r="CN109" s="3"/>
      <c r="CS109" s="3"/>
      <c r="CT109" s="3"/>
      <c r="CU109" s="3"/>
      <c r="CV109" s="3">
        <f t="shared" si="46"/>
        <v>11.5</v>
      </c>
      <c r="CW109" s="3">
        <f t="shared" si="47"/>
        <v>20.5</v>
      </c>
      <c r="CX109" s="3">
        <f t="shared" si="53"/>
        <v>7.5999999999999988</v>
      </c>
      <c r="CY109" s="3">
        <v>2</v>
      </c>
      <c r="CZ109" s="3"/>
      <c r="DA109" s="3"/>
      <c r="DB109" s="3"/>
      <c r="DC109" s="3"/>
      <c r="DD109" s="3"/>
      <c r="DE109" s="3"/>
      <c r="DF109" s="3"/>
      <c r="DG109" s="3"/>
      <c r="DH109" s="3"/>
      <c r="DI109" s="3"/>
      <c r="DJ109" s="3"/>
      <c r="DK109" s="3"/>
      <c r="DL109" s="3"/>
      <c r="DM109" s="3"/>
    </row>
    <row r="110" spans="15:117">
      <c r="O110" s="3">
        <f t="shared" si="42"/>
        <v>11.75</v>
      </c>
      <c r="P110" s="3">
        <f t="shared" si="43"/>
        <v>21</v>
      </c>
      <c r="Q110" s="3">
        <f t="shared" si="51"/>
        <v>6.4</v>
      </c>
      <c r="R110" s="3">
        <v>2</v>
      </c>
      <c r="AP110" s="3">
        <f t="shared" si="44"/>
        <v>11.75</v>
      </c>
      <c r="AQ110" s="3">
        <f t="shared" si="45"/>
        <v>21</v>
      </c>
      <c r="AR110" s="3">
        <f t="shared" si="52"/>
        <v>7.7999999999999989</v>
      </c>
      <c r="AS110" s="3">
        <v>2</v>
      </c>
      <c r="CK110" s="3"/>
      <c r="CL110" s="3"/>
      <c r="CM110" s="3"/>
      <c r="CN110" s="3"/>
      <c r="CS110" s="3"/>
      <c r="CT110" s="3"/>
      <c r="CU110" s="3"/>
      <c r="CV110" s="3">
        <f t="shared" si="46"/>
        <v>11.75</v>
      </c>
      <c r="CW110" s="3">
        <f t="shared" si="47"/>
        <v>21</v>
      </c>
      <c r="CX110" s="3">
        <f t="shared" si="53"/>
        <v>7.7999999999999989</v>
      </c>
      <c r="CY110" s="3">
        <v>2</v>
      </c>
      <c r="CZ110" s="3"/>
      <c r="DA110" s="3"/>
      <c r="DB110" s="3"/>
      <c r="DC110" s="3"/>
      <c r="DD110" s="3"/>
      <c r="DE110" s="3"/>
      <c r="DF110" s="3"/>
      <c r="DG110" s="3"/>
      <c r="DH110" s="3"/>
      <c r="DI110" s="3"/>
      <c r="DJ110" s="3"/>
      <c r="DK110" s="3"/>
      <c r="DL110" s="3"/>
      <c r="DM110" s="3"/>
    </row>
    <row r="111" spans="15:117">
      <c r="O111" s="3">
        <f t="shared" si="42"/>
        <v>12</v>
      </c>
      <c r="P111" s="3">
        <f t="shared" si="43"/>
        <v>21.5</v>
      </c>
      <c r="Q111" s="3">
        <f t="shared" si="51"/>
        <v>6.5</v>
      </c>
      <c r="R111" s="3">
        <v>2</v>
      </c>
      <c r="AP111" s="3">
        <f t="shared" si="44"/>
        <v>12</v>
      </c>
      <c r="AQ111" s="3">
        <f t="shared" si="45"/>
        <v>21.5</v>
      </c>
      <c r="AR111" s="3">
        <f t="shared" si="52"/>
        <v>7.9999999999999991</v>
      </c>
      <c r="AS111" s="3">
        <v>2</v>
      </c>
      <c r="CK111" s="3"/>
      <c r="CL111" s="3"/>
      <c r="CM111" s="3"/>
      <c r="CN111" s="3"/>
      <c r="CS111" s="3"/>
      <c r="CT111" s="3"/>
      <c r="CU111" s="3"/>
      <c r="CV111" s="3">
        <f t="shared" si="46"/>
        <v>12</v>
      </c>
      <c r="CW111" s="3">
        <f t="shared" si="47"/>
        <v>21.5</v>
      </c>
      <c r="CX111" s="3">
        <f t="shared" si="53"/>
        <v>7.9999999999999991</v>
      </c>
      <c r="CY111" s="3">
        <v>2</v>
      </c>
      <c r="CZ111" s="3"/>
      <c r="DA111" s="3"/>
      <c r="DB111" s="3"/>
      <c r="DC111" s="3"/>
      <c r="DD111" s="3"/>
      <c r="DE111" s="3"/>
      <c r="DF111" s="3"/>
      <c r="DG111" s="3"/>
      <c r="DH111" s="3"/>
      <c r="DI111" s="3"/>
      <c r="DJ111" s="3"/>
      <c r="DK111" s="3"/>
      <c r="DL111" s="3"/>
      <c r="DM111" s="3"/>
    </row>
    <row r="112" spans="15:117">
      <c r="O112" s="3">
        <f t="shared" si="42"/>
        <v>12.25</v>
      </c>
      <c r="P112" s="3">
        <f t="shared" si="43"/>
        <v>22</v>
      </c>
      <c r="Q112" s="3">
        <f t="shared" si="51"/>
        <v>6.6</v>
      </c>
      <c r="R112" s="3">
        <v>2</v>
      </c>
      <c r="AP112" s="3">
        <f t="shared" si="44"/>
        <v>12.25</v>
      </c>
      <c r="AQ112" s="3">
        <f t="shared" si="45"/>
        <v>22</v>
      </c>
      <c r="AR112" s="3">
        <f t="shared" si="52"/>
        <v>8.1999999999999993</v>
      </c>
      <c r="AS112" s="3">
        <v>2</v>
      </c>
      <c r="CK112" s="3"/>
      <c r="CL112" s="3"/>
      <c r="CM112" s="3"/>
      <c r="CN112" s="3"/>
      <c r="CS112" s="3"/>
      <c r="CT112" s="3"/>
      <c r="CU112" s="3"/>
      <c r="CV112" s="3">
        <f t="shared" si="46"/>
        <v>12.25</v>
      </c>
      <c r="CW112" s="3">
        <f t="shared" si="47"/>
        <v>22</v>
      </c>
      <c r="CX112" s="3">
        <f t="shared" si="53"/>
        <v>8.1999999999999993</v>
      </c>
      <c r="CY112" s="3">
        <v>2</v>
      </c>
      <c r="CZ112" s="3"/>
      <c r="DA112" s="3"/>
      <c r="DB112" s="3"/>
      <c r="DC112" s="3"/>
      <c r="DD112" s="3"/>
      <c r="DE112" s="3"/>
      <c r="DF112" s="3"/>
      <c r="DG112" s="3"/>
      <c r="DH112" s="3"/>
      <c r="DI112" s="3"/>
      <c r="DJ112" s="3"/>
      <c r="DK112" s="3"/>
      <c r="DL112" s="3"/>
      <c r="DM112" s="3"/>
    </row>
    <row r="113" spans="15:117">
      <c r="O113" s="3">
        <f t="shared" si="42"/>
        <v>12.5</v>
      </c>
      <c r="P113" s="3">
        <f t="shared" si="43"/>
        <v>22.5</v>
      </c>
      <c r="Q113" s="3">
        <f t="shared" si="51"/>
        <v>6.6999999999999993</v>
      </c>
      <c r="R113" s="3">
        <v>2</v>
      </c>
      <c r="AP113" s="3">
        <f t="shared" si="44"/>
        <v>12.5</v>
      </c>
      <c r="AQ113" s="3">
        <f t="shared" si="45"/>
        <v>22.5</v>
      </c>
      <c r="AR113" s="3">
        <f t="shared" si="52"/>
        <v>8.3999999999999986</v>
      </c>
      <c r="AS113" s="3">
        <v>2</v>
      </c>
      <c r="CK113" s="3"/>
      <c r="CL113" s="3"/>
      <c r="CM113" s="3"/>
      <c r="CN113" s="3"/>
      <c r="CS113" s="3"/>
      <c r="CT113" s="3"/>
      <c r="CU113" s="3"/>
      <c r="CV113" s="3">
        <f t="shared" si="46"/>
        <v>12.5</v>
      </c>
      <c r="CW113" s="3">
        <f t="shared" si="47"/>
        <v>22.5</v>
      </c>
      <c r="CX113" s="3">
        <f t="shared" si="53"/>
        <v>8.3999999999999986</v>
      </c>
      <c r="CY113" s="3">
        <v>2</v>
      </c>
      <c r="CZ113" s="3"/>
      <c r="DA113" s="3"/>
      <c r="DB113" s="3"/>
      <c r="DC113" s="3"/>
      <c r="DD113" s="3"/>
      <c r="DE113" s="3"/>
      <c r="DF113" s="3"/>
      <c r="DG113" s="3"/>
      <c r="DH113" s="3"/>
      <c r="DI113" s="3"/>
      <c r="DJ113" s="3"/>
      <c r="DK113" s="3"/>
      <c r="DL113" s="3"/>
      <c r="DM113" s="3"/>
    </row>
    <row r="114" spans="15:117">
      <c r="O114" s="3">
        <f t="shared" si="42"/>
        <v>12.75</v>
      </c>
      <c r="P114" s="3">
        <f t="shared" si="43"/>
        <v>23</v>
      </c>
      <c r="Q114" s="3">
        <f t="shared" si="51"/>
        <v>6.7999999999999989</v>
      </c>
      <c r="R114" s="3">
        <v>2</v>
      </c>
      <c r="AP114" s="3">
        <f t="shared" si="44"/>
        <v>12.75</v>
      </c>
      <c r="AQ114" s="3">
        <f t="shared" si="45"/>
        <v>23</v>
      </c>
      <c r="AR114" s="3">
        <f t="shared" si="52"/>
        <v>8.5999999999999979</v>
      </c>
      <c r="AS114" s="3">
        <v>2</v>
      </c>
      <c r="CK114" s="3"/>
      <c r="CL114" s="3"/>
      <c r="CM114" s="3"/>
      <c r="CN114" s="3"/>
      <c r="CS114" s="3"/>
      <c r="CT114" s="3"/>
      <c r="CU114" s="3"/>
      <c r="CV114" s="3">
        <f t="shared" si="46"/>
        <v>12.75</v>
      </c>
      <c r="CW114" s="3">
        <f t="shared" si="47"/>
        <v>23</v>
      </c>
      <c r="CX114" s="3">
        <f t="shared" si="53"/>
        <v>8.5999999999999979</v>
      </c>
      <c r="CY114" s="3">
        <v>2</v>
      </c>
      <c r="CZ114" s="3"/>
      <c r="DA114" s="3"/>
      <c r="DB114" s="3"/>
      <c r="DC114" s="3"/>
      <c r="DD114" s="3"/>
      <c r="DE114" s="3"/>
      <c r="DF114" s="3"/>
      <c r="DG114" s="3"/>
      <c r="DH114" s="3"/>
      <c r="DI114" s="3"/>
      <c r="DJ114" s="3"/>
      <c r="DK114" s="3"/>
      <c r="DL114" s="3"/>
      <c r="DM114" s="3"/>
    </row>
    <row r="115" spans="15:117">
      <c r="O115" s="3">
        <f t="shared" si="42"/>
        <v>13</v>
      </c>
      <c r="P115" s="3">
        <f t="shared" si="43"/>
        <v>23.5</v>
      </c>
      <c r="Q115" s="3">
        <f t="shared" si="51"/>
        <v>6.8999999999999986</v>
      </c>
      <c r="R115" s="3">
        <v>2</v>
      </c>
      <c r="AP115" s="3">
        <f t="shared" si="44"/>
        <v>13</v>
      </c>
      <c r="AQ115" s="3">
        <f t="shared" si="45"/>
        <v>23.5</v>
      </c>
      <c r="AR115" s="3">
        <f t="shared" si="52"/>
        <v>8.7999999999999972</v>
      </c>
      <c r="AS115" s="3">
        <v>2</v>
      </c>
      <c r="CK115" s="3"/>
      <c r="CL115" s="3"/>
      <c r="CM115" s="3"/>
      <c r="CN115" s="3"/>
      <c r="CS115" s="3"/>
      <c r="CT115" s="3"/>
      <c r="CU115" s="3"/>
      <c r="CV115" s="3">
        <f t="shared" si="46"/>
        <v>13</v>
      </c>
      <c r="CW115" s="3">
        <f t="shared" si="47"/>
        <v>23.5</v>
      </c>
      <c r="CX115" s="3">
        <f t="shared" si="53"/>
        <v>8.7999999999999972</v>
      </c>
      <c r="CY115" s="3">
        <v>2</v>
      </c>
      <c r="CZ115" s="3"/>
      <c r="DA115" s="3"/>
      <c r="DB115" s="3"/>
      <c r="DC115" s="3"/>
      <c r="DD115" s="3"/>
      <c r="DE115" s="3"/>
      <c r="DF115" s="3"/>
      <c r="DG115" s="3"/>
      <c r="DH115" s="3"/>
      <c r="DI115" s="3"/>
      <c r="DJ115" s="3"/>
      <c r="DK115" s="3"/>
      <c r="DL115" s="3"/>
      <c r="DM115" s="3"/>
    </row>
    <row r="116" spans="15:117">
      <c r="O116" s="3">
        <f t="shared" si="42"/>
        <v>13.25</v>
      </c>
      <c r="P116" s="3">
        <f t="shared" si="43"/>
        <v>24</v>
      </c>
      <c r="Q116" s="3">
        <f t="shared" si="51"/>
        <v>6.9999999999999982</v>
      </c>
      <c r="R116" s="3">
        <v>2</v>
      </c>
      <c r="AP116" s="3">
        <f t="shared" si="44"/>
        <v>13.25</v>
      </c>
      <c r="AQ116" s="3">
        <f t="shared" si="45"/>
        <v>24</v>
      </c>
      <c r="AR116" s="3">
        <f t="shared" ref="AR116:AR126" si="54">AR115+0.1</f>
        <v>8.8999999999999968</v>
      </c>
      <c r="AS116" s="3">
        <v>2</v>
      </c>
      <c r="CK116" s="3"/>
      <c r="CL116" s="3"/>
      <c r="CM116" s="3"/>
      <c r="CN116" s="3"/>
      <c r="CS116" s="3"/>
      <c r="CT116" s="3"/>
      <c r="CU116" s="3"/>
      <c r="CV116" s="3">
        <f t="shared" si="46"/>
        <v>13.25</v>
      </c>
      <c r="CW116" s="3">
        <f t="shared" si="47"/>
        <v>24</v>
      </c>
      <c r="CX116" s="3">
        <f t="shared" ref="CX116:CX126" si="55">CX115+0.1</f>
        <v>8.8999999999999968</v>
      </c>
      <c r="CY116" s="3">
        <v>2</v>
      </c>
      <c r="CZ116" s="3"/>
      <c r="DA116" s="3"/>
      <c r="DB116" s="3"/>
      <c r="DC116" s="3"/>
      <c r="DD116" s="3"/>
      <c r="DE116" s="3"/>
      <c r="DF116" s="3"/>
      <c r="DG116" s="3"/>
      <c r="DH116" s="3"/>
      <c r="DI116" s="3"/>
      <c r="DJ116" s="3"/>
      <c r="DK116" s="3"/>
      <c r="DL116" s="3"/>
      <c r="DM116" s="3"/>
    </row>
    <row r="117" spans="15:117">
      <c r="O117" s="3">
        <f t="shared" si="42"/>
        <v>13.5</v>
      </c>
      <c r="P117" s="3">
        <f t="shared" si="43"/>
        <v>24.5</v>
      </c>
      <c r="Q117" s="3">
        <f t="shared" si="51"/>
        <v>7.0999999999999979</v>
      </c>
      <c r="R117" s="3">
        <v>2</v>
      </c>
      <c r="AP117" s="3">
        <f t="shared" si="44"/>
        <v>13.5</v>
      </c>
      <c r="AQ117" s="3">
        <f t="shared" si="45"/>
        <v>24.5</v>
      </c>
      <c r="AR117" s="3">
        <f t="shared" si="54"/>
        <v>8.9999999999999964</v>
      </c>
      <c r="AS117" s="3">
        <v>2</v>
      </c>
      <c r="CK117" s="3"/>
      <c r="CL117" s="3"/>
      <c r="CM117" s="3"/>
      <c r="CN117" s="3"/>
      <c r="CS117" s="3"/>
      <c r="CT117" s="3"/>
      <c r="CU117" s="3"/>
      <c r="CV117" s="3">
        <f t="shared" si="46"/>
        <v>13.5</v>
      </c>
      <c r="CW117" s="3">
        <f t="shared" si="47"/>
        <v>24.5</v>
      </c>
      <c r="CX117" s="3">
        <f t="shared" si="55"/>
        <v>8.9999999999999964</v>
      </c>
      <c r="CY117" s="3">
        <v>2</v>
      </c>
      <c r="CZ117" s="3"/>
      <c r="DA117" s="3"/>
      <c r="DB117" s="3"/>
      <c r="DC117" s="3"/>
      <c r="DD117" s="3"/>
      <c r="DE117" s="3"/>
      <c r="DF117" s="3"/>
      <c r="DG117" s="3"/>
      <c r="DH117" s="3"/>
      <c r="DI117" s="3"/>
      <c r="DJ117" s="3"/>
      <c r="DK117" s="3"/>
      <c r="DL117" s="3"/>
      <c r="DM117" s="3"/>
    </row>
    <row r="118" spans="15:117">
      <c r="O118" s="3">
        <f t="shared" si="42"/>
        <v>13.75</v>
      </c>
      <c r="P118" s="3">
        <f t="shared" si="43"/>
        <v>25</v>
      </c>
      <c r="Q118" s="3">
        <f t="shared" si="51"/>
        <v>7.1999999999999975</v>
      </c>
      <c r="R118" s="3">
        <v>2</v>
      </c>
      <c r="AP118" s="3">
        <f t="shared" si="44"/>
        <v>13.75</v>
      </c>
      <c r="AQ118" s="3">
        <f t="shared" si="45"/>
        <v>25</v>
      </c>
      <c r="AR118" s="3">
        <f t="shared" si="54"/>
        <v>9.0999999999999961</v>
      </c>
      <c r="AS118" s="3">
        <v>2</v>
      </c>
      <c r="CK118" s="3"/>
      <c r="CL118" s="3"/>
      <c r="CM118" s="3"/>
      <c r="CN118" s="3"/>
      <c r="CS118" s="3"/>
      <c r="CT118" s="3"/>
      <c r="CU118" s="3"/>
      <c r="CV118" s="3">
        <f t="shared" si="46"/>
        <v>13.75</v>
      </c>
      <c r="CW118" s="3">
        <f t="shared" si="47"/>
        <v>25</v>
      </c>
      <c r="CX118" s="3">
        <f t="shared" si="55"/>
        <v>9.0999999999999961</v>
      </c>
      <c r="CY118" s="3">
        <v>2</v>
      </c>
      <c r="CZ118" s="3"/>
      <c r="DA118" s="3"/>
      <c r="DB118" s="3"/>
      <c r="DC118" s="3"/>
      <c r="DD118" s="3"/>
      <c r="DE118" s="3"/>
      <c r="DF118" s="3"/>
      <c r="DG118" s="3"/>
      <c r="DH118" s="3"/>
      <c r="DI118" s="3"/>
      <c r="DJ118" s="3"/>
      <c r="DK118" s="3"/>
      <c r="DL118" s="3"/>
      <c r="DM118" s="3"/>
    </row>
    <row r="119" spans="15:117">
      <c r="O119" s="3">
        <f t="shared" si="42"/>
        <v>14</v>
      </c>
      <c r="P119" s="3">
        <f t="shared" si="43"/>
        <v>25.5</v>
      </c>
      <c r="Q119" s="3">
        <f t="shared" si="51"/>
        <v>7.2999999999999972</v>
      </c>
      <c r="R119" s="3">
        <v>2</v>
      </c>
      <c r="AP119" s="3">
        <f t="shared" si="44"/>
        <v>14</v>
      </c>
      <c r="AQ119" s="3">
        <f t="shared" si="45"/>
        <v>25.5</v>
      </c>
      <c r="AR119" s="3">
        <f t="shared" si="54"/>
        <v>9.1999999999999957</v>
      </c>
      <c r="AS119" s="3">
        <v>2</v>
      </c>
      <c r="CK119" s="3"/>
      <c r="CL119" s="3"/>
      <c r="CM119" s="3"/>
      <c r="CN119" s="3"/>
      <c r="CS119" s="3"/>
      <c r="CT119" s="3"/>
      <c r="CU119" s="3"/>
      <c r="CV119" s="3">
        <f t="shared" si="46"/>
        <v>14</v>
      </c>
      <c r="CW119" s="3">
        <f t="shared" si="47"/>
        <v>25.5</v>
      </c>
      <c r="CX119" s="3">
        <f t="shared" si="55"/>
        <v>9.1999999999999957</v>
      </c>
      <c r="CY119" s="3">
        <v>2</v>
      </c>
      <c r="CZ119" s="3"/>
      <c r="DA119" s="3"/>
      <c r="DB119" s="3"/>
      <c r="DC119" s="3"/>
      <c r="DD119" s="3"/>
      <c r="DE119" s="3"/>
      <c r="DF119" s="3"/>
      <c r="DG119" s="3"/>
      <c r="DH119" s="3"/>
      <c r="DI119" s="3"/>
      <c r="DJ119" s="3"/>
      <c r="DK119" s="3"/>
      <c r="DL119" s="3"/>
      <c r="DM119" s="3"/>
    </row>
    <row r="120" spans="15:117">
      <c r="O120" s="3">
        <f t="shared" si="42"/>
        <v>14.25</v>
      </c>
      <c r="P120" s="3">
        <f t="shared" si="43"/>
        <v>26</v>
      </c>
      <c r="Q120" s="3">
        <f t="shared" si="51"/>
        <v>7.3999999999999968</v>
      </c>
      <c r="R120" s="3">
        <v>2</v>
      </c>
      <c r="AP120" s="3">
        <f t="shared" si="44"/>
        <v>14.25</v>
      </c>
      <c r="AQ120" s="3">
        <f t="shared" si="45"/>
        <v>26</v>
      </c>
      <c r="AR120" s="3">
        <f t="shared" si="54"/>
        <v>9.2999999999999954</v>
      </c>
      <c r="AS120" s="3">
        <v>2</v>
      </c>
      <c r="CK120" s="3"/>
      <c r="CL120" s="3"/>
      <c r="CM120" s="3"/>
      <c r="CN120" s="3"/>
      <c r="CS120" s="3"/>
      <c r="CT120" s="3"/>
      <c r="CU120" s="3"/>
      <c r="CV120" s="3">
        <f t="shared" si="46"/>
        <v>14.25</v>
      </c>
      <c r="CW120" s="3">
        <f t="shared" si="47"/>
        <v>26</v>
      </c>
      <c r="CX120" s="3">
        <f t="shared" si="55"/>
        <v>9.2999999999999954</v>
      </c>
      <c r="CY120" s="3">
        <v>2</v>
      </c>
      <c r="CZ120" s="3"/>
      <c r="DA120" s="3"/>
      <c r="DB120" s="3"/>
      <c r="DC120" s="3"/>
      <c r="DD120" s="3"/>
      <c r="DE120" s="3"/>
      <c r="DF120" s="3"/>
      <c r="DG120" s="3"/>
      <c r="DH120" s="3"/>
      <c r="DI120" s="3"/>
      <c r="DJ120" s="3"/>
      <c r="DK120" s="3"/>
      <c r="DL120" s="3"/>
      <c r="DM120" s="3"/>
    </row>
    <row r="121" spans="15:117">
      <c r="O121" s="3">
        <f t="shared" si="42"/>
        <v>14.5</v>
      </c>
      <c r="P121" s="3">
        <f t="shared" si="43"/>
        <v>26.5</v>
      </c>
      <c r="Q121" s="3">
        <f t="shared" si="51"/>
        <v>7.4999999999999964</v>
      </c>
      <c r="R121" s="3">
        <v>2</v>
      </c>
      <c r="AP121" s="3">
        <f t="shared" si="44"/>
        <v>14.5</v>
      </c>
      <c r="AQ121" s="3">
        <f t="shared" si="45"/>
        <v>26.5</v>
      </c>
      <c r="AR121" s="3">
        <f t="shared" si="54"/>
        <v>9.399999999999995</v>
      </c>
      <c r="AS121" s="3">
        <v>2</v>
      </c>
      <c r="CK121" s="3"/>
      <c r="CL121" s="3"/>
      <c r="CM121" s="3"/>
      <c r="CN121" s="3"/>
      <c r="CS121" s="3"/>
      <c r="CT121" s="3"/>
      <c r="CU121" s="3"/>
      <c r="CV121" s="3">
        <f t="shared" si="46"/>
        <v>14.5</v>
      </c>
      <c r="CW121" s="3">
        <f t="shared" si="47"/>
        <v>26.5</v>
      </c>
      <c r="CX121" s="3">
        <f t="shared" si="55"/>
        <v>9.399999999999995</v>
      </c>
      <c r="CY121" s="3">
        <v>2</v>
      </c>
      <c r="CZ121" s="3"/>
      <c r="DA121" s="3"/>
      <c r="DB121" s="3"/>
      <c r="DC121" s="3"/>
      <c r="DD121" s="3"/>
      <c r="DE121" s="3"/>
      <c r="DF121" s="3"/>
      <c r="DG121" s="3"/>
      <c r="DH121" s="3"/>
      <c r="DI121" s="3"/>
      <c r="DJ121" s="3"/>
      <c r="DK121" s="3"/>
      <c r="DL121" s="3"/>
      <c r="DM121" s="3"/>
    </row>
    <row r="122" spans="15:117">
      <c r="O122" s="3">
        <f t="shared" si="42"/>
        <v>14.75</v>
      </c>
      <c r="P122" s="3">
        <f t="shared" si="43"/>
        <v>27</v>
      </c>
      <c r="Q122" s="3">
        <f t="shared" si="51"/>
        <v>7.5999999999999961</v>
      </c>
      <c r="R122" s="3">
        <v>2</v>
      </c>
      <c r="AP122" s="3">
        <f t="shared" si="44"/>
        <v>14.75</v>
      </c>
      <c r="AQ122" s="3">
        <f t="shared" si="45"/>
        <v>27</v>
      </c>
      <c r="AR122" s="3">
        <f t="shared" si="54"/>
        <v>9.4999999999999947</v>
      </c>
      <c r="AS122" s="3">
        <v>2</v>
      </c>
      <c r="CK122" s="3"/>
      <c r="CL122" s="3"/>
      <c r="CM122" s="3"/>
      <c r="CN122" s="3"/>
      <c r="CS122" s="3"/>
      <c r="CT122" s="3"/>
      <c r="CU122" s="3"/>
      <c r="CV122" s="3">
        <f t="shared" si="46"/>
        <v>14.75</v>
      </c>
      <c r="CW122" s="3">
        <f t="shared" si="47"/>
        <v>27</v>
      </c>
      <c r="CX122" s="3">
        <f t="shared" si="55"/>
        <v>9.4999999999999947</v>
      </c>
      <c r="CY122" s="3">
        <v>2</v>
      </c>
      <c r="CZ122" s="3"/>
      <c r="DA122" s="3"/>
      <c r="DB122" s="3"/>
      <c r="DC122" s="3"/>
      <c r="DD122" s="3"/>
      <c r="DE122" s="3"/>
      <c r="DF122" s="3"/>
      <c r="DG122" s="3"/>
      <c r="DH122" s="3"/>
      <c r="DI122" s="3"/>
      <c r="DJ122" s="3"/>
      <c r="DK122" s="3"/>
      <c r="DL122" s="3"/>
      <c r="DM122" s="3"/>
    </row>
    <row r="123" spans="15:117">
      <c r="O123" s="3">
        <f t="shared" si="42"/>
        <v>15</v>
      </c>
      <c r="P123" s="3">
        <f t="shared" si="43"/>
        <v>27.5</v>
      </c>
      <c r="Q123" s="3">
        <f t="shared" si="51"/>
        <v>7.6999999999999957</v>
      </c>
      <c r="R123" s="3">
        <v>2</v>
      </c>
      <c r="AP123" s="3">
        <f t="shared" si="44"/>
        <v>15</v>
      </c>
      <c r="AQ123" s="3">
        <f t="shared" si="45"/>
        <v>27.5</v>
      </c>
      <c r="AR123" s="3">
        <f t="shared" si="54"/>
        <v>9.5999999999999943</v>
      </c>
      <c r="AS123" s="3">
        <v>2</v>
      </c>
      <c r="CK123" s="3"/>
      <c r="CL123" s="3"/>
      <c r="CM123" s="3"/>
      <c r="CN123" s="3"/>
      <c r="CS123" s="3"/>
      <c r="CT123" s="3"/>
      <c r="CU123" s="3"/>
      <c r="CV123" s="3">
        <f t="shared" si="46"/>
        <v>15</v>
      </c>
      <c r="CW123" s="3">
        <f t="shared" si="47"/>
        <v>27.5</v>
      </c>
      <c r="CX123" s="3">
        <f t="shared" si="55"/>
        <v>9.5999999999999943</v>
      </c>
      <c r="CY123" s="3">
        <v>2</v>
      </c>
      <c r="CZ123" s="3"/>
      <c r="DA123" s="3"/>
      <c r="DB123" s="3"/>
      <c r="DC123" s="3"/>
      <c r="DD123" s="3"/>
      <c r="DE123" s="3"/>
      <c r="DF123" s="3"/>
      <c r="DG123" s="3"/>
      <c r="DH123" s="3"/>
      <c r="DI123" s="3"/>
      <c r="DJ123" s="3"/>
      <c r="DK123" s="3"/>
      <c r="DL123" s="3"/>
      <c r="DM123" s="3"/>
    </row>
    <row r="124" spans="15:117">
      <c r="O124" s="3">
        <f t="shared" si="42"/>
        <v>15.25</v>
      </c>
      <c r="P124" s="3">
        <f t="shared" si="43"/>
        <v>28</v>
      </c>
      <c r="Q124" s="3">
        <f t="shared" si="51"/>
        <v>7.7999999999999954</v>
      </c>
      <c r="R124" s="3">
        <v>2</v>
      </c>
      <c r="AP124" s="3">
        <f t="shared" si="44"/>
        <v>15.25</v>
      </c>
      <c r="AQ124" s="3">
        <f t="shared" si="45"/>
        <v>28</v>
      </c>
      <c r="AR124" s="3">
        <f t="shared" si="54"/>
        <v>9.699999999999994</v>
      </c>
      <c r="AS124" s="3">
        <v>2</v>
      </c>
      <c r="CK124" s="3"/>
      <c r="CL124" s="3"/>
      <c r="CM124" s="3"/>
      <c r="CN124" s="3"/>
      <c r="CS124" s="3"/>
      <c r="CT124" s="3"/>
      <c r="CU124" s="3"/>
      <c r="CV124" s="3">
        <f t="shared" si="46"/>
        <v>15.25</v>
      </c>
      <c r="CW124" s="3">
        <f t="shared" si="47"/>
        <v>28</v>
      </c>
      <c r="CX124" s="3">
        <f t="shared" si="55"/>
        <v>9.699999999999994</v>
      </c>
      <c r="CY124" s="3">
        <v>2</v>
      </c>
      <c r="CZ124" s="3"/>
      <c r="DA124" s="3"/>
      <c r="DB124" s="3"/>
      <c r="DC124" s="3"/>
      <c r="DD124" s="3"/>
      <c r="DE124" s="3"/>
      <c r="DF124" s="3"/>
      <c r="DG124" s="3"/>
      <c r="DH124" s="3"/>
      <c r="DI124" s="3"/>
      <c r="DJ124" s="3"/>
      <c r="DK124" s="3"/>
      <c r="DL124" s="3"/>
      <c r="DM124" s="3"/>
    </row>
    <row r="125" spans="15:117">
      <c r="O125" s="3">
        <f t="shared" si="42"/>
        <v>15.5</v>
      </c>
      <c r="P125" s="3">
        <f t="shared" si="43"/>
        <v>28.5</v>
      </c>
      <c r="Q125" s="3">
        <f t="shared" si="51"/>
        <v>7.899999999999995</v>
      </c>
      <c r="R125" s="3">
        <v>2</v>
      </c>
      <c r="AP125" s="3">
        <f t="shared" si="44"/>
        <v>15.5</v>
      </c>
      <c r="AQ125" s="3">
        <f t="shared" si="45"/>
        <v>28.5</v>
      </c>
      <c r="AR125" s="3">
        <f t="shared" si="54"/>
        <v>9.7999999999999936</v>
      </c>
      <c r="AS125" s="3">
        <v>2</v>
      </c>
      <c r="CK125" s="3"/>
      <c r="CL125" s="3"/>
      <c r="CM125" s="3"/>
      <c r="CN125" s="3"/>
      <c r="CS125" s="3"/>
      <c r="CT125" s="3"/>
      <c r="CU125" s="3"/>
      <c r="CV125" s="3">
        <f t="shared" si="46"/>
        <v>15.5</v>
      </c>
      <c r="CW125" s="3">
        <f t="shared" si="47"/>
        <v>28.5</v>
      </c>
      <c r="CX125" s="3">
        <f t="shared" si="55"/>
        <v>9.7999999999999936</v>
      </c>
      <c r="CY125" s="3">
        <v>2</v>
      </c>
      <c r="CZ125" s="3"/>
      <c r="DA125" s="3"/>
      <c r="DB125" s="3"/>
      <c r="DC125" s="3"/>
      <c r="DD125" s="3"/>
      <c r="DE125" s="3"/>
      <c r="DF125" s="3"/>
      <c r="DG125" s="3"/>
      <c r="DH125" s="3"/>
      <c r="DI125" s="3"/>
      <c r="DJ125" s="3"/>
      <c r="DK125" s="3"/>
      <c r="DL125" s="3"/>
      <c r="DM125" s="3"/>
    </row>
    <row r="126" spans="15:117">
      <c r="O126" s="3">
        <f t="shared" si="42"/>
        <v>15.75</v>
      </c>
      <c r="P126" s="3">
        <f t="shared" si="43"/>
        <v>29</v>
      </c>
      <c r="Q126" s="3">
        <f t="shared" si="51"/>
        <v>7.9999999999999947</v>
      </c>
      <c r="R126" s="3">
        <v>2</v>
      </c>
      <c r="AP126" s="3">
        <f t="shared" si="44"/>
        <v>15.75</v>
      </c>
      <c r="AQ126" s="3">
        <f t="shared" si="45"/>
        <v>29</v>
      </c>
      <c r="AR126" s="3">
        <f t="shared" si="54"/>
        <v>9.8999999999999932</v>
      </c>
      <c r="AS126" s="3">
        <v>2</v>
      </c>
      <c r="CK126" s="3"/>
      <c r="CL126" s="3"/>
      <c r="CM126" s="3"/>
      <c r="CN126" s="3"/>
      <c r="CS126" s="3"/>
      <c r="CT126" s="3"/>
      <c r="CU126" s="3"/>
      <c r="CV126" s="3">
        <f t="shared" si="46"/>
        <v>15.75</v>
      </c>
      <c r="CW126" s="3">
        <f t="shared" si="47"/>
        <v>29</v>
      </c>
      <c r="CX126" s="3">
        <f t="shared" si="55"/>
        <v>9.8999999999999932</v>
      </c>
      <c r="CY126" s="3">
        <v>2</v>
      </c>
      <c r="CZ126" s="3"/>
      <c r="DA126" s="3"/>
      <c r="DB126" s="3"/>
      <c r="DC126" s="3"/>
      <c r="DD126" s="3"/>
      <c r="DE126" s="3"/>
      <c r="DF126" s="3"/>
      <c r="DG126" s="3"/>
      <c r="DH126" s="3"/>
      <c r="DI126" s="3"/>
      <c r="DJ126" s="3"/>
      <c r="DK126" s="3"/>
      <c r="DL126" s="3"/>
      <c r="DM126" s="3"/>
    </row>
    <row r="127" spans="15:117">
      <c r="O127" s="3">
        <f t="shared" si="42"/>
        <v>16</v>
      </c>
      <c r="P127" s="3">
        <f t="shared" si="43"/>
        <v>29.5</v>
      </c>
      <c r="Q127" s="3">
        <f>Q126+0.05</f>
        <v>8.0499999999999954</v>
      </c>
      <c r="R127" s="3">
        <v>2</v>
      </c>
      <c r="AP127" s="3">
        <f t="shared" si="44"/>
        <v>16</v>
      </c>
      <c r="AQ127" s="3">
        <f t="shared" si="45"/>
        <v>29.5</v>
      </c>
      <c r="AR127" s="3">
        <f>AR126+0.05</f>
        <v>9.949999999999994</v>
      </c>
      <c r="AS127" s="3">
        <v>2</v>
      </c>
      <c r="CK127" s="3"/>
      <c r="CL127" s="3"/>
      <c r="CM127" s="3"/>
      <c r="CN127" s="3"/>
      <c r="CS127" s="3"/>
      <c r="CT127" s="3"/>
      <c r="CU127" s="3"/>
      <c r="CV127" s="3">
        <f t="shared" si="46"/>
        <v>16</v>
      </c>
      <c r="CW127" s="3">
        <f t="shared" si="47"/>
        <v>29.5</v>
      </c>
      <c r="CX127" s="3">
        <f>CX126+0.05</f>
        <v>9.949999999999994</v>
      </c>
      <c r="CY127" s="3">
        <v>2</v>
      </c>
      <c r="CZ127" s="3"/>
      <c r="DA127" s="3"/>
      <c r="DB127" s="3"/>
      <c r="DC127" s="3"/>
      <c r="DD127" s="3"/>
      <c r="DE127" s="3"/>
      <c r="DF127" s="3"/>
      <c r="DG127" s="3"/>
      <c r="DH127" s="3"/>
      <c r="DI127" s="3"/>
      <c r="DJ127" s="3"/>
      <c r="DK127" s="3"/>
      <c r="DL127" s="3"/>
      <c r="DM127" s="3"/>
    </row>
    <row r="128" spans="15:117">
      <c r="O128" s="3">
        <f t="shared" si="42"/>
        <v>16.25</v>
      </c>
      <c r="P128" s="3">
        <f t="shared" si="43"/>
        <v>30</v>
      </c>
      <c r="Q128" s="3">
        <f t="shared" ref="Q128:Q166" si="56">Q127+0.05</f>
        <v>8.0999999999999961</v>
      </c>
      <c r="R128" s="3">
        <v>2</v>
      </c>
      <c r="AP128" s="3">
        <f t="shared" si="44"/>
        <v>16.25</v>
      </c>
      <c r="AQ128" s="3">
        <f t="shared" si="45"/>
        <v>29.975000000000001</v>
      </c>
      <c r="AR128" s="3">
        <f t="shared" ref="AR128" si="57">AR127+0.05</f>
        <v>9.9999999999999947</v>
      </c>
      <c r="AS128" s="3">
        <f>AS127-0.1</f>
        <v>1.9</v>
      </c>
      <c r="CK128" s="3"/>
      <c r="CL128" s="3"/>
      <c r="CM128" s="3"/>
      <c r="CN128" s="3"/>
      <c r="CS128" s="3"/>
      <c r="CT128" s="3"/>
      <c r="CU128" s="3"/>
      <c r="CV128" s="3">
        <f t="shared" si="46"/>
        <v>16.25</v>
      </c>
      <c r="CW128" s="3">
        <f t="shared" si="47"/>
        <v>29.975000000000001</v>
      </c>
      <c r="CX128" s="3">
        <f t="shared" ref="CX128" si="58">CX127+0.05</f>
        <v>9.9999999999999947</v>
      </c>
      <c r="CY128" s="3">
        <f>CY127-0.1</f>
        <v>1.9</v>
      </c>
      <c r="CZ128" s="3"/>
      <c r="DA128" s="3"/>
      <c r="DB128" s="3"/>
      <c r="DC128" s="3"/>
      <c r="DD128" s="3"/>
      <c r="DE128" s="3"/>
      <c r="DF128" s="3"/>
      <c r="DG128" s="3"/>
      <c r="DH128" s="3"/>
      <c r="DI128" s="3"/>
      <c r="DJ128" s="3"/>
      <c r="DK128" s="3"/>
      <c r="DL128" s="3"/>
      <c r="DM128" s="3"/>
    </row>
    <row r="129" spans="15:117">
      <c r="O129" s="3">
        <f t="shared" ref="O129:O192" si="59">O128+0.25</f>
        <v>16.5</v>
      </c>
      <c r="P129" s="3">
        <f t="shared" ref="P129:P192" si="60">P128+(O129-O128)*R129</f>
        <v>30.5</v>
      </c>
      <c r="Q129" s="3">
        <f t="shared" si="56"/>
        <v>8.1499999999999968</v>
      </c>
      <c r="R129" s="3">
        <v>2</v>
      </c>
      <c r="AP129" s="3">
        <f t="shared" ref="AP129:AP192" si="61">AP128+0.25</f>
        <v>16.5</v>
      </c>
      <c r="AQ129" s="3">
        <f t="shared" ref="AQ129:AQ192" si="62">AQ128+(AP129-AP128)*AS129</f>
        <v>30.425000000000001</v>
      </c>
      <c r="AR129" s="3">
        <f>AR128</f>
        <v>9.9999999999999947</v>
      </c>
      <c r="AS129" s="3">
        <f t="shared" ref="AS129:AS131" si="63">AS128-0.1</f>
        <v>1.7999999999999998</v>
      </c>
      <c r="CK129" s="3"/>
      <c r="CL129" s="3"/>
      <c r="CM129" s="3"/>
      <c r="CN129" s="3"/>
      <c r="CS129" s="3"/>
      <c r="CT129" s="3"/>
      <c r="CU129" s="3"/>
      <c r="CV129" s="3">
        <f t="shared" ref="CV129:CV192" si="64">CV128+0.25</f>
        <v>16.5</v>
      </c>
      <c r="CW129" s="3">
        <f t="shared" ref="CW129:CW192" si="65">CW128+(CV129-CV128)*CY129</f>
        <v>30.425000000000001</v>
      </c>
      <c r="CX129" s="3">
        <f>CX128</f>
        <v>9.9999999999999947</v>
      </c>
      <c r="CY129" s="3">
        <f t="shared" ref="CY129:CY131" si="66">CY128-0.1</f>
        <v>1.7999999999999998</v>
      </c>
      <c r="CZ129" s="3"/>
      <c r="DA129" s="3"/>
      <c r="DB129" s="3"/>
      <c r="DC129" s="3"/>
      <c r="DD129" s="3"/>
      <c r="DE129" s="3"/>
      <c r="DF129" s="3"/>
      <c r="DG129" s="3"/>
      <c r="DH129" s="3"/>
      <c r="DI129" s="3"/>
      <c r="DJ129" s="3"/>
      <c r="DK129" s="3"/>
      <c r="DL129" s="3"/>
      <c r="DM129" s="3"/>
    </row>
    <row r="130" spans="15:117">
      <c r="O130" s="3">
        <f t="shared" si="59"/>
        <v>16.75</v>
      </c>
      <c r="P130" s="3">
        <f t="shared" si="60"/>
        <v>31</v>
      </c>
      <c r="Q130" s="3">
        <f t="shared" si="56"/>
        <v>8.1999999999999975</v>
      </c>
      <c r="R130" s="3">
        <v>2</v>
      </c>
      <c r="AP130" s="3">
        <f t="shared" si="61"/>
        <v>16.75</v>
      </c>
      <c r="AQ130" s="3">
        <f t="shared" si="62"/>
        <v>30.85</v>
      </c>
      <c r="AR130" s="3">
        <f t="shared" ref="AR130:AR137" si="67">AR129</f>
        <v>9.9999999999999947</v>
      </c>
      <c r="AS130" s="3">
        <f t="shared" si="63"/>
        <v>1.6999999999999997</v>
      </c>
      <c r="CK130" s="3"/>
      <c r="CL130" s="3"/>
      <c r="CM130" s="3"/>
      <c r="CN130" s="3"/>
      <c r="CS130" s="3"/>
      <c r="CT130" s="3"/>
      <c r="CU130" s="3"/>
      <c r="CV130" s="3">
        <f t="shared" si="64"/>
        <v>16.75</v>
      </c>
      <c r="CW130" s="3">
        <f t="shared" si="65"/>
        <v>30.85</v>
      </c>
      <c r="CX130" s="3">
        <f t="shared" ref="CX130:CX161" si="68">CX129</f>
        <v>9.9999999999999947</v>
      </c>
      <c r="CY130" s="3">
        <f t="shared" si="66"/>
        <v>1.6999999999999997</v>
      </c>
      <c r="CZ130" s="3"/>
      <c r="DA130" s="3"/>
      <c r="DB130" s="3"/>
      <c r="DC130" s="3"/>
      <c r="DD130" s="3"/>
      <c r="DE130" s="3"/>
      <c r="DF130" s="3"/>
      <c r="DG130" s="3"/>
      <c r="DH130" s="3"/>
      <c r="DI130" s="3"/>
      <c r="DJ130" s="3"/>
      <c r="DK130" s="3"/>
      <c r="DL130" s="3"/>
      <c r="DM130" s="3"/>
    </row>
    <row r="131" spans="15:117">
      <c r="O131" s="3">
        <f t="shared" si="59"/>
        <v>17</v>
      </c>
      <c r="P131" s="3">
        <f t="shared" si="60"/>
        <v>31.5</v>
      </c>
      <c r="Q131" s="3">
        <f t="shared" si="56"/>
        <v>8.2499999999999982</v>
      </c>
      <c r="R131" s="3">
        <v>2</v>
      </c>
      <c r="AP131" s="3">
        <f t="shared" si="61"/>
        <v>17</v>
      </c>
      <c r="AQ131" s="3">
        <f t="shared" si="62"/>
        <v>31.25</v>
      </c>
      <c r="AR131" s="3">
        <f t="shared" si="67"/>
        <v>9.9999999999999947</v>
      </c>
      <c r="AS131" s="3">
        <f t="shared" si="63"/>
        <v>1.5999999999999996</v>
      </c>
      <c r="CK131" s="3"/>
      <c r="CL131" s="3"/>
      <c r="CM131" s="3"/>
      <c r="CN131" s="3"/>
      <c r="CS131" s="3"/>
      <c r="CT131" s="3"/>
      <c r="CU131" s="3"/>
      <c r="CV131" s="3">
        <f t="shared" si="64"/>
        <v>17</v>
      </c>
      <c r="CW131" s="3">
        <f t="shared" si="65"/>
        <v>31.25</v>
      </c>
      <c r="CX131" s="3">
        <f t="shared" si="68"/>
        <v>9.9999999999999947</v>
      </c>
      <c r="CY131" s="3">
        <f t="shared" si="66"/>
        <v>1.5999999999999996</v>
      </c>
      <c r="CZ131" s="3"/>
      <c r="DA131" s="3"/>
      <c r="DB131" s="3"/>
      <c r="DC131" s="3"/>
      <c r="DD131" s="3"/>
      <c r="DE131" s="3"/>
      <c r="DF131" s="3"/>
      <c r="DG131" s="3"/>
      <c r="DH131" s="3"/>
      <c r="DI131" s="3"/>
      <c r="DJ131" s="3"/>
      <c r="DK131" s="3"/>
      <c r="DL131" s="3"/>
      <c r="DM131" s="3"/>
    </row>
    <row r="132" spans="15:117">
      <c r="O132" s="3">
        <f t="shared" si="59"/>
        <v>17.25</v>
      </c>
      <c r="P132" s="3">
        <f t="shared" si="60"/>
        <v>32</v>
      </c>
      <c r="Q132" s="3">
        <f t="shared" si="56"/>
        <v>8.2999999999999989</v>
      </c>
      <c r="R132" s="3">
        <v>2</v>
      </c>
      <c r="AP132" s="3">
        <f t="shared" si="61"/>
        <v>17.25</v>
      </c>
      <c r="AQ132" s="3">
        <f t="shared" si="62"/>
        <v>31.675000000000001</v>
      </c>
      <c r="AR132" s="3">
        <f t="shared" si="67"/>
        <v>9.9999999999999947</v>
      </c>
      <c r="AS132" s="3">
        <f>AS131+0.1</f>
        <v>1.6999999999999997</v>
      </c>
      <c r="CK132" s="3"/>
      <c r="CL132" s="3"/>
      <c r="CM132" s="3"/>
      <c r="CN132" s="3"/>
      <c r="CS132" s="3"/>
      <c r="CT132" s="3"/>
      <c r="CU132" s="3"/>
      <c r="CV132" s="3">
        <f t="shared" si="64"/>
        <v>17.25</v>
      </c>
      <c r="CW132" s="3">
        <f t="shared" si="65"/>
        <v>31.675000000000001</v>
      </c>
      <c r="CX132" s="3">
        <f t="shared" si="68"/>
        <v>9.9999999999999947</v>
      </c>
      <c r="CY132" s="3">
        <f>CY131+0.1</f>
        <v>1.6999999999999997</v>
      </c>
      <c r="CZ132" s="3"/>
      <c r="DA132" s="3"/>
      <c r="DB132" s="3"/>
      <c r="DC132" s="3"/>
      <c r="DD132" s="3"/>
      <c r="DE132" s="3"/>
      <c r="DF132" s="3"/>
      <c r="DG132" s="3"/>
      <c r="DH132" s="3"/>
      <c r="DI132" s="3"/>
      <c r="DJ132" s="3"/>
      <c r="DK132" s="3"/>
      <c r="DL132" s="3"/>
      <c r="DM132" s="3"/>
    </row>
    <row r="133" spans="15:117">
      <c r="O133" s="3">
        <f t="shared" si="59"/>
        <v>17.5</v>
      </c>
      <c r="P133" s="3">
        <f t="shared" si="60"/>
        <v>32.5</v>
      </c>
      <c r="Q133" s="3">
        <f t="shared" si="56"/>
        <v>8.35</v>
      </c>
      <c r="R133" s="3">
        <v>2</v>
      </c>
      <c r="AP133" s="3">
        <f t="shared" si="61"/>
        <v>17.5</v>
      </c>
      <c r="AQ133" s="3">
        <f t="shared" si="62"/>
        <v>32.125</v>
      </c>
      <c r="AR133" s="3">
        <f t="shared" si="67"/>
        <v>9.9999999999999947</v>
      </c>
      <c r="AS133" s="3">
        <f t="shared" ref="AS133:AS138" si="69">AS132+0.1</f>
        <v>1.7999999999999998</v>
      </c>
      <c r="CK133" s="3"/>
      <c r="CL133" s="3"/>
      <c r="CM133" s="3"/>
      <c r="CN133" s="3"/>
      <c r="CS133" s="3"/>
      <c r="CT133" s="3"/>
      <c r="CU133" s="3"/>
      <c r="CV133" s="3">
        <f t="shared" si="64"/>
        <v>17.5</v>
      </c>
      <c r="CW133" s="3">
        <f t="shared" si="65"/>
        <v>32.125</v>
      </c>
      <c r="CX133" s="3">
        <f t="shared" si="68"/>
        <v>9.9999999999999947</v>
      </c>
      <c r="CY133" s="3">
        <f t="shared" ref="CY133:CY135" si="70">CY132+0.1</f>
        <v>1.7999999999999998</v>
      </c>
      <c r="CZ133" s="3"/>
      <c r="DA133" s="3"/>
      <c r="DB133" s="3"/>
      <c r="DC133" s="3"/>
      <c r="DD133" s="3"/>
      <c r="DE133" s="3"/>
      <c r="DF133" s="3"/>
      <c r="DG133" s="3"/>
      <c r="DH133" s="3"/>
      <c r="DI133" s="3"/>
      <c r="DJ133" s="3"/>
      <c r="DK133" s="3"/>
      <c r="DL133" s="3"/>
      <c r="DM133" s="3"/>
    </row>
    <row r="134" spans="15:117">
      <c r="O134" s="3">
        <f t="shared" si="59"/>
        <v>17.75</v>
      </c>
      <c r="P134" s="3">
        <f t="shared" si="60"/>
        <v>33</v>
      </c>
      <c r="Q134" s="3">
        <f t="shared" si="56"/>
        <v>8.4</v>
      </c>
      <c r="R134" s="3">
        <v>2</v>
      </c>
      <c r="AP134" s="3">
        <f t="shared" si="61"/>
        <v>17.75</v>
      </c>
      <c r="AQ134" s="3">
        <f t="shared" si="62"/>
        <v>32.6</v>
      </c>
      <c r="AR134" s="3">
        <f t="shared" si="67"/>
        <v>9.9999999999999947</v>
      </c>
      <c r="AS134" s="3">
        <f t="shared" si="69"/>
        <v>1.9</v>
      </c>
      <c r="CK134" s="3"/>
      <c r="CL134" s="3"/>
      <c r="CM134" s="3"/>
      <c r="CN134" s="3"/>
      <c r="CS134" s="3"/>
      <c r="CT134" s="3"/>
      <c r="CU134" s="3"/>
      <c r="CV134" s="3">
        <f t="shared" si="64"/>
        <v>17.75</v>
      </c>
      <c r="CW134" s="3">
        <f t="shared" si="65"/>
        <v>32.6</v>
      </c>
      <c r="CX134" s="3">
        <f t="shared" si="68"/>
        <v>9.9999999999999947</v>
      </c>
      <c r="CY134" s="3">
        <f t="shared" si="70"/>
        <v>1.9</v>
      </c>
      <c r="CZ134" s="3"/>
      <c r="DA134" s="3"/>
      <c r="DB134" s="3"/>
      <c r="DC134" s="3"/>
      <c r="DD134" s="3"/>
      <c r="DE134" s="3"/>
      <c r="DF134" s="3"/>
      <c r="DG134" s="3"/>
      <c r="DH134" s="3"/>
      <c r="DI134" s="3"/>
      <c r="DJ134" s="3"/>
      <c r="DK134" s="3"/>
      <c r="DL134" s="3"/>
      <c r="DM134" s="3"/>
    </row>
    <row r="135" spans="15:117">
      <c r="O135" s="3">
        <f t="shared" si="59"/>
        <v>18</v>
      </c>
      <c r="P135" s="3">
        <f t="shared" si="60"/>
        <v>33.5</v>
      </c>
      <c r="Q135" s="3">
        <f t="shared" si="56"/>
        <v>8.4500000000000011</v>
      </c>
      <c r="R135" s="3">
        <v>2</v>
      </c>
      <c r="AP135" s="3">
        <f t="shared" si="61"/>
        <v>18</v>
      </c>
      <c r="AQ135" s="3">
        <f t="shared" si="62"/>
        <v>33.1</v>
      </c>
      <c r="AR135" s="3">
        <f t="shared" si="67"/>
        <v>9.9999999999999947</v>
      </c>
      <c r="AS135" s="3">
        <f t="shared" si="69"/>
        <v>2</v>
      </c>
      <c r="CK135" s="3"/>
      <c r="CL135" s="3"/>
      <c r="CM135" s="3"/>
      <c r="CN135" s="3"/>
      <c r="CS135" s="3"/>
      <c r="CT135" s="3"/>
      <c r="CU135" s="3"/>
      <c r="CV135" s="3">
        <f t="shared" si="64"/>
        <v>18</v>
      </c>
      <c r="CW135" s="3">
        <f t="shared" si="65"/>
        <v>33.1</v>
      </c>
      <c r="CX135" s="3">
        <f t="shared" si="68"/>
        <v>9.9999999999999947</v>
      </c>
      <c r="CY135" s="3">
        <f t="shared" si="70"/>
        <v>2</v>
      </c>
      <c r="CZ135" s="3"/>
      <c r="DA135" s="3"/>
      <c r="DB135" s="3"/>
      <c r="DC135" s="3"/>
      <c r="DD135" s="3"/>
      <c r="DE135" s="3"/>
      <c r="DF135" s="3"/>
      <c r="DG135" s="3"/>
      <c r="DH135" s="3"/>
      <c r="DI135" s="3"/>
      <c r="DJ135" s="3"/>
      <c r="DK135" s="3"/>
      <c r="DL135" s="3"/>
      <c r="DM135" s="3"/>
    </row>
    <row r="136" spans="15:117">
      <c r="O136" s="3">
        <f t="shared" si="59"/>
        <v>18.25</v>
      </c>
      <c r="P136" s="3">
        <f t="shared" si="60"/>
        <v>34</v>
      </c>
      <c r="Q136" s="3">
        <f t="shared" si="56"/>
        <v>8.5000000000000018</v>
      </c>
      <c r="R136" s="3">
        <v>2</v>
      </c>
      <c r="AP136" s="3">
        <f t="shared" si="61"/>
        <v>18.25</v>
      </c>
      <c r="AQ136" s="3">
        <f t="shared" si="62"/>
        <v>33.625</v>
      </c>
      <c r="AR136" s="3">
        <f t="shared" si="67"/>
        <v>9.9999999999999947</v>
      </c>
      <c r="AS136" s="3">
        <f>AS135+0.1</f>
        <v>2.1</v>
      </c>
      <c r="CK136" s="3"/>
      <c r="CL136" s="3"/>
      <c r="CM136" s="3"/>
      <c r="CN136" s="3"/>
      <c r="CS136" s="3"/>
      <c r="CT136" s="3"/>
      <c r="CU136" s="3"/>
      <c r="CV136" s="3">
        <f t="shared" si="64"/>
        <v>18.25</v>
      </c>
      <c r="CW136" s="3">
        <f t="shared" si="65"/>
        <v>33.625</v>
      </c>
      <c r="CX136" s="3">
        <f t="shared" si="68"/>
        <v>9.9999999999999947</v>
      </c>
      <c r="CY136" s="3">
        <f>CY135+0.1</f>
        <v>2.1</v>
      </c>
      <c r="CZ136" s="3"/>
      <c r="DA136" s="3"/>
      <c r="DB136" s="3"/>
      <c r="DC136" s="3"/>
      <c r="DD136" s="3"/>
      <c r="DE136" s="3"/>
      <c r="DF136" s="3"/>
      <c r="DG136" s="3"/>
      <c r="DH136" s="3"/>
      <c r="DI136" s="3"/>
      <c r="DJ136" s="3"/>
      <c r="DK136" s="3"/>
      <c r="DL136" s="3"/>
      <c r="DM136" s="3"/>
    </row>
    <row r="137" spans="15:117">
      <c r="O137" s="3">
        <f t="shared" si="59"/>
        <v>18.5</v>
      </c>
      <c r="P137" s="3">
        <f t="shared" si="60"/>
        <v>34.5</v>
      </c>
      <c r="Q137" s="3">
        <f t="shared" si="56"/>
        <v>8.5500000000000025</v>
      </c>
      <c r="R137" s="3">
        <v>2</v>
      </c>
      <c r="AP137" s="3">
        <f t="shared" si="61"/>
        <v>18.5</v>
      </c>
      <c r="AQ137" s="3">
        <f t="shared" si="62"/>
        <v>34.174999999999997</v>
      </c>
      <c r="AR137" s="3">
        <f t="shared" si="67"/>
        <v>9.9999999999999947</v>
      </c>
      <c r="AS137" s="3">
        <f t="shared" si="69"/>
        <v>2.2000000000000002</v>
      </c>
      <c r="CK137" s="3"/>
      <c r="CL137" s="3"/>
      <c r="CM137" s="3"/>
      <c r="CN137" s="3"/>
      <c r="CS137" s="3"/>
      <c r="CT137" s="3"/>
      <c r="CU137" s="3"/>
      <c r="CV137" s="3">
        <f t="shared" si="64"/>
        <v>18.5</v>
      </c>
      <c r="CW137" s="3">
        <f t="shared" si="65"/>
        <v>34.174999999999997</v>
      </c>
      <c r="CX137" s="3">
        <f t="shared" si="68"/>
        <v>9.9999999999999947</v>
      </c>
      <c r="CY137" s="3">
        <f t="shared" ref="CY137:CY138" si="71">CY136+0.1</f>
        <v>2.2000000000000002</v>
      </c>
      <c r="CZ137" s="3"/>
      <c r="DA137" s="3"/>
      <c r="DB137" s="3"/>
      <c r="DC137" s="3"/>
      <c r="DD137" s="3"/>
      <c r="DE137" s="3"/>
      <c r="DF137" s="3"/>
      <c r="DG137" s="3"/>
      <c r="DH137" s="3"/>
      <c r="DI137" s="3"/>
      <c r="DJ137" s="3"/>
      <c r="DK137" s="3"/>
      <c r="DL137" s="3"/>
      <c r="DM137" s="3"/>
    </row>
    <row r="138" spans="15:117">
      <c r="O138" s="3">
        <f t="shared" si="59"/>
        <v>18.75</v>
      </c>
      <c r="P138" s="3">
        <f t="shared" si="60"/>
        <v>35</v>
      </c>
      <c r="Q138" s="3">
        <f t="shared" si="56"/>
        <v>8.6000000000000032</v>
      </c>
      <c r="R138" s="3">
        <v>2</v>
      </c>
      <c r="AP138" s="3">
        <f t="shared" si="61"/>
        <v>18.75</v>
      </c>
      <c r="AQ138" s="3">
        <f t="shared" si="62"/>
        <v>34.75</v>
      </c>
      <c r="AR138" s="3">
        <f>AR137-0.05</f>
        <v>9.949999999999994</v>
      </c>
      <c r="AS138" s="3">
        <f t="shared" si="69"/>
        <v>2.3000000000000003</v>
      </c>
      <c r="CK138" s="3"/>
      <c r="CL138" s="3"/>
      <c r="CM138" s="3"/>
      <c r="CN138" s="3"/>
      <c r="CS138" s="3"/>
      <c r="CT138" s="3"/>
      <c r="CU138" s="3"/>
      <c r="CV138" s="3">
        <f t="shared" si="64"/>
        <v>18.75</v>
      </c>
      <c r="CW138" s="3">
        <f t="shared" si="65"/>
        <v>34.75</v>
      </c>
      <c r="CX138" s="3">
        <f t="shared" si="68"/>
        <v>9.9999999999999947</v>
      </c>
      <c r="CY138" s="3">
        <f t="shared" si="71"/>
        <v>2.3000000000000003</v>
      </c>
      <c r="CZ138" s="3"/>
      <c r="DA138" s="3"/>
      <c r="DB138" s="3"/>
      <c r="DC138" s="3"/>
      <c r="DD138" s="3"/>
      <c r="DE138" s="3"/>
      <c r="DF138" s="3"/>
      <c r="DG138" s="3"/>
      <c r="DH138" s="3"/>
      <c r="DI138" s="3"/>
      <c r="DJ138" s="3"/>
      <c r="DK138" s="3"/>
      <c r="DL138" s="3"/>
      <c r="DM138" s="3"/>
    </row>
    <row r="139" spans="15:117">
      <c r="O139" s="3">
        <f t="shared" si="59"/>
        <v>19</v>
      </c>
      <c r="P139" s="3">
        <f t="shared" si="60"/>
        <v>35.5</v>
      </c>
      <c r="Q139" s="3">
        <f t="shared" si="56"/>
        <v>8.6500000000000039</v>
      </c>
      <c r="R139" s="3">
        <v>2</v>
      </c>
      <c r="AP139" s="3">
        <f t="shared" si="61"/>
        <v>19</v>
      </c>
      <c r="AQ139" s="3">
        <f t="shared" si="62"/>
        <v>35.25</v>
      </c>
      <c r="AR139" s="3">
        <f t="shared" ref="AR139:AR167" si="72">AR138-0.05</f>
        <v>9.8999999999999932</v>
      </c>
      <c r="AS139" s="3">
        <v>2</v>
      </c>
      <c r="CK139" s="3"/>
      <c r="CL139" s="3"/>
      <c r="CM139" s="3"/>
      <c r="CN139" s="3"/>
      <c r="CS139" s="3"/>
      <c r="CT139" s="3"/>
      <c r="CU139" s="3"/>
      <c r="CV139" s="3">
        <f t="shared" si="64"/>
        <v>19</v>
      </c>
      <c r="CW139" s="3">
        <f t="shared" si="65"/>
        <v>35.35</v>
      </c>
      <c r="CX139" s="3">
        <f t="shared" si="68"/>
        <v>9.9999999999999947</v>
      </c>
      <c r="CY139" s="3">
        <v>2.4</v>
      </c>
      <c r="CZ139" s="3"/>
      <c r="DA139" s="3"/>
      <c r="DB139" s="3"/>
      <c r="DC139" s="3"/>
      <c r="DD139" s="3"/>
      <c r="DE139" s="3"/>
      <c r="DF139" s="3"/>
      <c r="DG139" s="3"/>
      <c r="DH139" s="3"/>
      <c r="DI139" s="3"/>
      <c r="DJ139" s="3"/>
      <c r="DK139" s="3"/>
      <c r="DL139" s="3"/>
      <c r="DM139" s="3"/>
    </row>
    <row r="140" spans="15:117">
      <c r="O140" s="3">
        <f t="shared" si="59"/>
        <v>19.25</v>
      </c>
      <c r="P140" s="3">
        <f t="shared" si="60"/>
        <v>36</v>
      </c>
      <c r="Q140" s="3">
        <f t="shared" si="56"/>
        <v>8.7000000000000046</v>
      </c>
      <c r="R140" s="3">
        <v>2</v>
      </c>
      <c r="AP140" s="3">
        <f t="shared" si="61"/>
        <v>19.25</v>
      </c>
      <c r="AQ140" s="3">
        <f t="shared" si="62"/>
        <v>35.75</v>
      </c>
      <c r="AR140" s="3">
        <f t="shared" si="72"/>
        <v>9.8499999999999925</v>
      </c>
      <c r="AS140" s="3">
        <v>2</v>
      </c>
      <c r="CK140" s="3"/>
      <c r="CL140" s="3"/>
      <c r="CM140" s="3"/>
      <c r="CN140" s="3"/>
      <c r="CS140" s="3"/>
      <c r="CT140" s="3"/>
      <c r="CU140" s="3"/>
      <c r="CV140" s="3">
        <f t="shared" si="64"/>
        <v>19.25</v>
      </c>
      <c r="CW140" s="3">
        <f t="shared" si="65"/>
        <v>35.962499999999999</v>
      </c>
      <c r="CX140" s="3">
        <f t="shared" si="68"/>
        <v>9.9999999999999947</v>
      </c>
      <c r="CY140" s="3">
        <v>2.4500000000000002</v>
      </c>
      <c r="CZ140" s="3"/>
      <c r="DA140" s="3"/>
      <c r="DB140" s="3"/>
      <c r="DC140" s="3"/>
      <c r="DD140" s="3"/>
      <c r="DE140" s="3"/>
      <c r="DF140" s="3"/>
      <c r="DG140" s="3"/>
      <c r="DH140" s="3"/>
      <c r="DI140" s="3"/>
      <c r="DJ140" s="3"/>
      <c r="DK140" s="3"/>
      <c r="DL140" s="3"/>
      <c r="DM140" s="3"/>
    </row>
    <row r="141" spans="15:117">
      <c r="O141" s="3">
        <f t="shared" si="59"/>
        <v>19.5</v>
      </c>
      <c r="P141" s="3">
        <f t="shared" si="60"/>
        <v>36.5</v>
      </c>
      <c r="Q141" s="3">
        <f t="shared" si="56"/>
        <v>8.7500000000000053</v>
      </c>
      <c r="R141" s="3">
        <v>2</v>
      </c>
      <c r="AP141" s="3">
        <f t="shared" si="61"/>
        <v>19.5</v>
      </c>
      <c r="AQ141" s="3">
        <f t="shared" si="62"/>
        <v>36.25</v>
      </c>
      <c r="AR141" s="3">
        <f t="shared" si="72"/>
        <v>9.7999999999999918</v>
      </c>
      <c r="AS141" s="3">
        <v>2</v>
      </c>
      <c r="CK141" s="3"/>
      <c r="CL141" s="3"/>
      <c r="CM141" s="3"/>
      <c r="CN141" s="3"/>
      <c r="CS141" s="3"/>
      <c r="CT141" s="3"/>
      <c r="CU141" s="3"/>
      <c r="CV141" s="3">
        <f t="shared" si="64"/>
        <v>19.5</v>
      </c>
      <c r="CW141" s="3">
        <f t="shared" si="65"/>
        <v>36.587499999999999</v>
      </c>
      <c r="CX141" s="3">
        <f t="shared" si="68"/>
        <v>9.9999999999999947</v>
      </c>
      <c r="CY141" s="3">
        <v>2.5</v>
      </c>
      <c r="CZ141" s="3"/>
      <c r="DA141" s="3"/>
      <c r="DB141" s="3"/>
      <c r="DC141" s="3"/>
      <c r="DD141" s="3"/>
      <c r="DE141" s="3"/>
      <c r="DF141" s="3"/>
      <c r="DG141" s="3"/>
      <c r="DH141" s="3"/>
      <c r="DI141" s="3"/>
      <c r="DJ141" s="3"/>
      <c r="DK141" s="3"/>
      <c r="DL141" s="3"/>
      <c r="DM141" s="3"/>
    </row>
    <row r="142" spans="15:117">
      <c r="O142" s="3">
        <f t="shared" si="59"/>
        <v>19.75</v>
      </c>
      <c r="P142" s="3">
        <f t="shared" si="60"/>
        <v>37</v>
      </c>
      <c r="Q142" s="3">
        <f t="shared" si="56"/>
        <v>8.800000000000006</v>
      </c>
      <c r="R142" s="3">
        <v>2</v>
      </c>
      <c r="AP142" s="3">
        <f t="shared" si="61"/>
        <v>19.75</v>
      </c>
      <c r="AQ142" s="3">
        <f t="shared" si="62"/>
        <v>36.75</v>
      </c>
      <c r="AR142" s="3">
        <f t="shared" si="72"/>
        <v>9.7499999999999911</v>
      </c>
      <c r="AS142" s="3">
        <v>2</v>
      </c>
      <c r="CK142" s="3"/>
      <c r="CL142" s="3"/>
      <c r="CM142" s="3"/>
      <c r="CN142" s="3"/>
      <c r="CS142" s="3"/>
      <c r="CT142" s="3"/>
      <c r="CU142" s="3"/>
      <c r="CV142" s="3">
        <f t="shared" si="64"/>
        <v>19.75</v>
      </c>
      <c r="CW142" s="3">
        <f t="shared" si="65"/>
        <v>37.212499999999999</v>
      </c>
      <c r="CX142" s="3">
        <f t="shared" si="68"/>
        <v>9.9999999999999947</v>
      </c>
      <c r="CY142" s="3">
        <v>2.5</v>
      </c>
      <c r="CZ142" s="3"/>
      <c r="DA142" s="3"/>
      <c r="DB142" s="3"/>
      <c r="DC142" s="3"/>
      <c r="DD142" s="3"/>
      <c r="DE142" s="3"/>
      <c r="DF142" s="3"/>
      <c r="DG142" s="3"/>
      <c r="DH142" s="3"/>
      <c r="DI142" s="3"/>
      <c r="DJ142" s="3"/>
      <c r="DK142" s="3"/>
      <c r="DL142" s="3"/>
      <c r="DM142" s="3"/>
    </row>
    <row r="143" spans="15:117">
      <c r="O143" s="3">
        <f t="shared" si="59"/>
        <v>20</v>
      </c>
      <c r="P143" s="3">
        <f t="shared" si="60"/>
        <v>37.5</v>
      </c>
      <c r="Q143" s="3">
        <f t="shared" si="56"/>
        <v>8.8500000000000068</v>
      </c>
      <c r="R143" s="3">
        <v>2</v>
      </c>
      <c r="AP143" s="3">
        <f t="shared" si="61"/>
        <v>20</v>
      </c>
      <c r="AQ143" s="3">
        <f t="shared" si="62"/>
        <v>37.25</v>
      </c>
      <c r="AR143" s="3">
        <f t="shared" si="72"/>
        <v>9.6999999999999904</v>
      </c>
      <c r="AS143" s="3">
        <v>2</v>
      </c>
      <c r="CK143" s="3"/>
      <c r="CL143" s="3"/>
      <c r="CM143" s="3"/>
      <c r="CN143" s="3"/>
      <c r="CS143" s="3"/>
      <c r="CT143" s="3"/>
      <c r="CU143" s="3"/>
      <c r="CV143" s="3">
        <f t="shared" si="64"/>
        <v>20</v>
      </c>
      <c r="CW143" s="3">
        <f t="shared" si="65"/>
        <v>37.837499999999999</v>
      </c>
      <c r="CX143" s="3">
        <f t="shared" si="68"/>
        <v>9.9999999999999947</v>
      </c>
      <c r="CY143" s="3">
        <v>2.5</v>
      </c>
      <c r="CZ143" s="3"/>
      <c r="DA143" s="3"/>
      <c r="DB143" s="3"/>
      <c r="DC143" s="3"/>
      <c r="DD143" s="3"/>
      <c r="DE143" s="3"/>
      <c r="DF143" s="3"/>
      <c r="DG143" s="3"/>
      <c r="DH143" s="3"/>
      <c r="DI143" s="3"/>
      <c r="DJ143" s="3"/>
      <c r="DK143" s="3"/>
      <c r="DL143" s="3"/>
      <c r="DM143" s="3"/>
    </row>
    <row r="144" spans="15:117">
      <c r="O144" s="3">
        <f t="shared" si="59"/>
        <v>20.25</v>
      </c>
      <c r="P144" s="3">
        <f t="shared" si="60"/>
        <v>38</v>
      </c>
      <c r="Q144" s="3">
        <f t="shared" si="56"/>
        <v>8.9000000000000075</v>
      </c>
      <c r="R144" s="3">
        <v>2</v>
      </c>
      <c r="AP144" s="3">
        <f t="shared" si="61"/>
        <v>20.25</v>
      </c>
      <c r="AQ144" s="3">
        <f t="shared" si="62"/>
        <v>37.75</v>
      </c>
      <c r="AR144" s="3">
        <f t="shared" si="72"/>
        <v>9.6499999999999897</v>
      </c>
      <c r="AS144" s="3">
        <v>2</v>
      </c>
      <c r="CK144" s="3"/>
      <c r="CL144" s="3"/>
      <c r="CM144" s="3"/>
      <c r="CN144" s="3"/>
      <c r="CS144" s="3"/>
      <c r="CT144" s="3"/>
      <c r="CU144" s="3"/>
      <c r="CV144" s="3">
        <f t="shared" si="64"/>
        <v>20.25</v>
      </c>
      <c r="CW144" s="3">
        <f t="shared" si="65"/>
        <v>38.462499999999999</v>
      </c>
      <c r="CX144" s="3">
        <f t="shared" si="68"/>
        <v>9.9999999999999947</v>
      </c>
      <c r="CY144" s="3">
        <v>2.5</v>
      </c>
      <c r="CZ144" s="3"/>
      <c r="DA144" s="3"/>
      <c r="DB144" s="3"/>
      <c r="DC144" s="3"/>
      <c r="DD144" s="3"/>
      <c r="DE144" s="3"/>
      <c r="DF144" s="3"/>
      <c r="DG144" s="3"/>
      <c r="DH144" s="3"/>
      <c r="DI144" s="3"/>
      <c r="DJ144" s="3"/>
      <c r="DK144" s="3"/>
      <c r="DL144" s="3"/>
      <c r="DM144" s="3"/>
    </row>
    <row r="145" spans="15:117">
      <c r="O145" s="3">
        <f t="shared" si="59"/>
        <v>20.5</v>
      </c>
      <c r="P145" s="3">
        <f t="shared" si="60"/>
        <v>38.5</v>
      </c>
      <c r="Q145" s="3">
        <f t="shared" si="56"/>
        <v>8.9500000000000082</v>
      </c>
      <c r="R145" s="3">
        <v>2</v>
      </c>
      <c r="AP145" s="3">
        <f t="shared" si="61"/>
        <v>20.5</v>
      </c>
      <c r="AQ145" s="3">
        <f t="shared" si="62"/>
        <v>38.25</v>
      </c>
      <c r="AR145" s="3">
        <f>AR144-0.05</f>
        <v>9.599999999999989</v>
      </c>
      <c r="AS145" s="3">
        <v>2</v>
      </c>
      <c r="CK145" s="3"/>
      <c r="CL145" s="3"/>
      <c r="CM145" s="3"/>
      <c r="CN145" s="3"/>
      <c r="CS145" s="3"/>
      <c r="CT145" s="3"/>
      <c r="CU145" s="3"/>
      <c r="CV145" s="3">
        <f t="shared" si="64"/>
        <v>20.5</v>
      </c>
      <c r="CW145" s="3">
        <f t="shared" si="65"/>
        <v>39.087499999999999</v>
      </c>
      <c r="CX145" s="3">
        <f t="shared" si="68"/>
        <v>9.9999999999999947</v>
      </c>
      <c r="CY145" s="3">
        <v>2.5</v>
      </c>
      <c r="CZ145" s="3"/>
      <c r="DA145" s="3"/>
      <c r="DB145" s="3"/>
      <c r="DC145" s="3"/>
      <c r="DD145" s="3"/>
      <c r="DE145" s="3"/>
      <c r="DF145" s="3"/>
      <c r="DG145" s="3"/>
      <c r="DH145" s="3"/>
      <c r="DI145" s="3"/>
      <c r="DJ145" s="3"/>
      <c r="DK145" s="3"/>
      <c r="DL145" s="3"/>
      <c r="DM145" s="3"/>
    </row>
    <row r="146" spans="15:117">
      <c r="O146" s="3">
        <f t="shared" si="59"/>
        <v>20.75</v>
      </c>
      <c r="P146" s="3">
        <f t="shared" si="60"/>
        <v>39</v>
      </c>
      <c r="Q146" s="3">
        <f t="shared" si="56"/>
        <v>9.0000000000000089</v>
      </c>
      <c r="R146" s="3">
        <v>2</v>
      </c>
      <c r="AP146" s="3">
        <f t="shared" si="61"/>
        <v>20.75</v>
      </c>
      <c r="AQ146" s="3">
        <f t="shared" si="62"/>
        <v>38.75</v>
      </c>
      <c r="AR146" s="3">
        <f t="shared" si="72"/>
        <v>9.5499999999999883</v>
      </c>
      <c r="AS146" s="3">
        <v>2</v>
      </c>
      <c r="CK146" s="3"/>
      <c r="CL146" s="3"/>
      <c r="CM146" s="3"/>
      <c r="CN146" s="3"/>
      <c r="CS146" s="3"/>
      <c r="CT146" s="3"/>
      <c r="CU146" s="3"/>
      <c r="CV146" s="3">
        <f t="shared" si="64"/>
        <v>20.75</v>
      </c>
      <c r="CW146" s="3">
        <f t="shared" si="65"/>
        <v>39.712499999999999</v>
      </c>
      <c r="CX146" s="3">
        <f t="shared" si="68"/>
        <v>9.9999999999999947</v>
      </c>
      <c r="CY146" s="3">
        <v>2.5</v>
      </c>
      <c r="CZ146" s="3"/>
      <c r="DA146" s="3"/>
      <c r="DB146" s="3"/>
      <c r="DC146" s="3"/>
      <c r="DD146" s="3"/>
      <c r="DE146" s="3"/>
      <c r="DF146" s="3"/>
      <c r="DG146" s="3"/>
      <c r="DH146" s="3"/>
      <c r="DI146" s="3"/>
      <c r="DJ146" s="3"/>
      <c r="DK146" s="3"/>
      <c r="DL146" s="3"/>
      <c r="DM146" s="3"/>
    </row>
    <row r="147" spans="15:117">
      <c r="O147" s="3">
        <f t="shared" si="59"/>
        <v>21</v>
      </c>
      <c r="P147" s="3">
        <f t="shared" si="60"/>
        <v>39.5</v>
      </c>
      <c r="Q147" s="3">
        <f t="shared" si="56"/>
        <v>9.0500000000000096</v>
      </c>
      <c r="R147" s="3">
        <v>2</v>
      </c>
      <c r="AP147" s="3">
        <f t="shared" si="61"/>
        <v>21</v>
      </c>
      <c r="AQ147" s="3">
        <f t="shared" si="62"/>
        <v>39.25</v>
      </c>
      <c r="AR147" s="3">
        <f t="shared" si="72"/>
        <v>9.4999999999999876</v>
      </c>
      <c r="AS147" s="3">
        <v>2</v>
      </c>
      <c r="CK147" s="3"/>
      <c r="CL147" s="3"/>
      <c r="CM147" s="3"/>
      <c r="CN147" s="3"/>
      <c r="CS147" s="3"/>
      <c r="CT147" s="3"/>
      <c r="CU147" s="3"/>
      <c r="CV147" s="3">
        <f t="shared" si="64"/>
        <v>21</v>
      </c>
      <c r="CW147" s="3">
        <f t="shared" si="65"/>
        <v>40.337499999999999</v>
      </c>
      <c r="CX147" s="3">
        <f t="shared" si="68"/>
        <v>9.9999999999999947</v>
      </c>
      <c r="CY147" s="3">
        <v>2.5</v>
      </c>
      <c r="CZ147" s="3"/>
      <c r="DA147" s="3"/>
      <c r="DB147" s="3"/>
      <c r="DC147" s="3"/>
      <c r="DD147" s="3"/>
      <c r="DE147" s="3"/>
      <c r="DF147" s="3"/>
      <c r="DG147" s="3"/>
      <c r="DH147" s="3"/>
      <c r="DI147" s="3"/>
      <c r="DJ147" s="3"/>
      <c r="DK147" s="3"/>
      <c r="DL147" s="3"/>
      <c r="DM147" s="3"/>
    </row>
    <row r="148" spans="15:117">
      <c r="O148" s="3">
        <f t="shared" si="59"/>
        <v>21.25</v>
      </c>
      <c r="P148" s="3">
        <f t="shared" si="60"/>
        <v>40</v>
      </c>
      <c r="Q148" s="3">
        <f t="shared" si="56"/>
        <v>9.1000000000000103</v>
      </c>
      <c r="R148" s="3">
        <v>2</v>
      </c>
      <c r="AP148" s="3">
        <f t="shared" si="61"/>
        <v>21.25</v>
      </c>
      <c r="AQ148" s="3">
        <f t="shared" si="62"/>
        <v>39.75</v>
      </c>
      <c r="AR148" s="3">
        <f t="shared" si="72"/>
        <v>9.4499999999999869</v>
      </c>
      <c r="AS148" s="3">
        <v>2</v>
      </c>
      <c r="CK148" s="3"/>
      <c r="CL148" s="3"/>
      <c r="CM148" s="3"/>
      <c r="CN148" s="3"/>
      <c r="CS148" s="3"/>
      <c r="CT148" s="3"/>
      <c r="CU148" s="3"/>
      <c r="CV148" s="3">
        <f t="shared" si="64"/>
        <v>21.25</v>
      </c>
      <c r="CW148" s="3">
        <f t="shared" si="65"/>
        <v>40.962499999999999</v>
      </c>
      <c r="CX148" s="3">
        <f t="shared" si="68"/>
        <v>9.9999999999999947</v>
      </c>
      <c r="CY148" s="3">
        <v>2.5</v>
      </c>
      <c r="CZ148" s="3"/>
      <c r="DA148" s="3"/>
      <c r="DB148" s="3"/>
      <c r="DC148" s="3"/>
      <c r="DD148" s="3"/>
      <c r="DE148" s="3"/>
      <c r="DF148" s="3"/>
      <c r="DG148" s="3"/>
      <c r="DH148" s="3"/>
      <c r="DI148" s="3"/>
      <c r="DJ148" s="3"/>
      <c r="DK148" s="3"/>
      <c r="DL148" s="3"/>
      <c r="DM148" s="3"/>
    </row>
    <row r="149" spans="15:117">
      <c r="O149" s="3">
        <f t="shared" si="59"/>
        <v>21.5</v>
      </c>
      <c r="P149" s="3">
        <f t="shared" si="60"/>
        <v>40.5</v>
      </c>
      <c r="Q149" s="3">
        <f t="shared" si="56"/>
        <v>9.150000000000011</v>
      </c>
      <c r="R149" s="3">
        <v>2</v>
      </c>
      <c r="AP149" s="3">
        <f t="shared" si="61"/>
        <v>21.5</v>
      </c>
      <c r="AQ149" s="3">
        <f t="shared" si="62"/>
        <v>40.25</v>
      </c>
      <c r="AR149" s="3">
        <f t="shared" si="72"/>
        <v>9.3999999999999861</v>
      </c>
      <c r="AS149" s="3">
        <v>2</v>
      </c>
      <c r="CK149" s="3"/>
      <c r="CL149" s="3"/>
      <c r="CM149" s="3"/>
      <c r="CN149" s="3"/>
      <c r="CS149" s="3"/>
      <c r="CT149" s="3"/>
      <c r="CU149" s="3"/>
      <c r="CV149" s="3">
        <f t="shared" si="64"/>
        <v>21.5</v>
      </c>
      <c r="CW149" s="3">
        <f t="shared" si="65"/>
        <v>41.587499999999999</v>
      </c>
      <c r="CX149" s="3">
        <f t="shared" si="68"/>
        <v>9.9999999999999947</v>
      </c>
      <c r="CY149" s="3">
        <v>2.5</v>
      </c>
      <c r="CZ149" s="3"/>
      <c r="DA149" s="3"/>
      <c r="DB149" s="3"/>
      <c r="DC149" s="3"/>
      <c r="DD149" s="3"/>
      <c r="DE149" s="3"/>
      <c r="DF149" s="3"/>
      <c r="DG149" s="3"/>
      <c r="DH149" s="3"/>
      <c r="DI149" s="3"/>
      <c r="DJ149" s="3"/>
      <c r="DK149" s="3"/>
      <c r="DL149" s="3"/>
      <c r="DM149" s="3"/>
    </row>
    <row r="150" spans="15:117">
      <c r="O150" s="3">
        <f t="shared" si="59"/>
        <v>21.75</v>
      </c>
      <c r="P150" s="3">
        <f t="shared" si="60"/>
        <v>41</v>
      </c>
      <c r="Q150" s="3">
        <f t="shared" si="56"/>
        <v>9.2000000000000117</v>
      </c>
      <c r="R150" s="3">
        <v>2</v>
      </c>
      <c r="AP150" s="3">
        <f t="shared" si="61"/>
        <v>21.75</v>
      </c>
      <c r="AQ150" s="3">
        <f t="shared" si="62"/>
        <v>40.75</v>
      </c>
      <c r="AR150" s="3">
        <f t="shared" si="72"/>
        <v>9.3499999999999854</v>
      </c>
      <c r="AS150" s="3">
        <v>2</v>
      </c>
      <c r="CK150" s="3"/>
      <c r="CL150" s="3"/>
      <c r="CM150" s="3"/>
      <c r="CN150" s="3"/>
      <c r="CS150" s="3"/>
      <c r="CT150" s="3"/>
      <c r="CU150" s="3"/>
      <c r="CV150" s="3">
        <f t="shared" si="64"/>
        <v>21.75</v>
      </c>
      <c r="CW150" s="3">
        <f t="shared" si="65"/>
        <v>42.212499999999999</v>
      </c>
      <c r="CX150" s="3">
        <f t="shared" si="68"/>
        <v>9.9999999999999947</v>
      </c>
      <c r="CY150" s="3">
        <v>2.5</v>
      </c>
      <c r="CZ150" s="3"/>
      <c r="DA150" s="3"/>
      <c r="DB150" s="3"/>
      <c r="DC150" s="3"/>
      <c r="DD150" s="3"/>
      <c r="DE150" s="3"/>
      <c r="DF150" s="3"/>
      <c r="DG150" s="3"/>
      <c r="DH150" s="3"/>
      <c r="DI150" s="3"/>
      <c r="DJ150" s="3"/>
      <c r="DK150" s="3"/>
      <c r="DL150" s="3"/>
      <c r="DM150" s="3"/>
    </row>
    <row r="151" spans="15:117">
      <c r="O151" s="3">
        <f t="shared" si="59"/>
        <v>22</v>
      </c>
      <c r="P151" s="3">
        <f t="shared" si="60"/>
        <v>41.5</v>
      </c>
      <c r="Q151" s="3">
        <f t="shared" si="56"/>
        <v>9.2500000000000124</v>
      </c>
      <c r="R151" s="3">
        <v>2</v>
      </c>
      <c r="AP151" s="3">
        <f t="shared" si="61"/>
        <v>22</v>
      </c>
      <c r="AQ151" s="3">
        <f t="shared" si="62"/>
        <v>41.25</v>
      </c>
      <c r="AR151" s="3">
        <f t="shared" si="72"/>
        <v>9.2999999999999847</v>
      </c>
      <c r="AS151" s="3">
        <v>2</v>
      </c>
      <c r="CK151" s="3"/>
      <c r="CL151" s="3"/>
      <c r="CM151" s="3"/>
      <c r="CN151" s="3"/>
      <c r="CS151" s="3"/>
      <c r="CT151" s="3"/>
      <c r="CU151" s="3"/>
      <c r="CV151" s="3">
        <f t="shared" si="64"/>
        <v>22</v>
      </c>
      <c r="CW151" s="3">
        <f t="shared" si="65"/>
        <v>42.837499999999999</v>
      </c>
      <c r="CX151" s="3">
        <f t="shared" si="68"/>
        <v>9.9999999999999947</v>
      </c>
      <c r="CY151" s="3">
        <v>2.5</v>
      </c>
      <c r="CZ151" s="3"/>
      <c r="DA151" s="3"/>
      <c r="DB151" s="3"/>
      <c r="DC151" s="3"/>
      <c r="DD151" s="3"/>
      <c r="DE151" s="3"/>
      <c r="DF151" s="3"/>
      <c r="DG151" s="3"/>
      <c r="DH151" s="3"/>
      <c r="DI151" s="3"/>
      <c r="DJ151" s="3"/>
      <c r="DK151" s="3"/>
      <c r="DL151" s="3"/>
      <c r="DM151" s="3"/>
    </row>
    <row r="152" spans="15:117">
      <c r="O152" s="3">
        <f t="shared" si="59"/>
        <v>22.25</v>
      </c>
      <c r="P152" s="3">
        <f t="shared" si="60"/>
        <v>42</v>
      </c>
      <c r="Q152" s="3">
        <f t="shared" si="56"/>
        <v>9.3000000000000131</v>
      </c>
      <c r="R152" s="3">
        <v>2</v>
      </c>
      <c r="AP152" s="3">
        <f t="shared" si="61"/>
        <v>22.25</v>
      </c>
      <c r="AQ152" s="3">
        <f t="shared" si="62"/>
        <v>41.75</v>
      </c>
      <c r="AR152" s="3">
        <f t="shared" si="72"/>
        <v>9.249999999999984</v>
      </c>
      <c r="AS152" s="3">
        <v>2</v>
      </c>
      <c r="CK152" s="3"/>
      <c r="CL152" s="3"/>
      <c r="CM152" s="3"/>
      <c r="CN152" s="3"/>
      <c r="CS152" s="3"/>
      <c r="CT152" s="3"/>
      <c r="CU152" s="3"/>
      <c r="CV152" s="3">
        <f t="shared" si="64"/>
        <v>22.25</v>
      </c>
      <c r="CW152" s="3">
        <f t="shared" si="65"/>
        <v>43.462499999999999</v>
      </c>
      <c r="CX152" s="3">
        <f t="shared" si="68"/>
        <v>9.9999999999999947</v>
      </c>
      <c r="CY152" s="3">
        <v>2.5</v>
      </c>
      <c r="CZ152" s="3"/>
      <c r="DA152" s="3"/>
      <c r="DB152" s="3"/>
      <c r="DC152" s="3"/>
      <c r="DD152" s="3"/>
      <c r="DE152" s="3"/>
      <c r="DF152" s="3"/>
      <c r="DG152" s="3"/>
      <c r="DH152" s="3"/>
      <c r="DI152" s="3"/>
      <c r="DJ152" s="3"/>
      <c r="DK152" s="3"/>
      <c r="DL152" s="3"/>
      <c r="DM152" s="3"/>
    </row>
    <row r="153" spans="15:117">
      <c r="O153" s="3">
        <f t="shared" si="59"/>
        <v>22.5</v>
      </c>
      <c r="P153" s="3">
        <f t="shared" si="60"/>
        <v>42.5</v>
      </c>
      <c r="Q153" s="3">
        <f t="shared" si="56"/>
        <v>9.3500000000000139</v>
      </c>
      <c r="R153" s="3">
        <v>2</v>
      </c>
      <c r="AP153" s="3">
        <f t="shared" si="61"/>
        <v>22.5</v>
      </c>
      <c r="AQ153" s="3">
        <f t="shared" si="62"/>
        <v>42.25</v>
      </c>
      <c r="AR153" s="3">
        <f t="shared" si="72"/>
        <v>9.1999999999999833</v>
      </c>
      <c r="AS153" s="3">
        <v>2</v>
      </c>
      <c r="CK153" s="3"/>
      <c r="CL153" s="3"/>
      <c r="CM153" s="3"/>
      <c r="CN153" s="3"/>
      <c r="CS153" s="3"/>
      <c r="CT153" s="3"/>
      <c r="CU153" s="3"/>
      <c r="CV153" s="3">
        <f t="shared" si="64"/>
        <v>22.5</v>
      </c>
      <c r="CW153" s="3">
        <f t="shared" si="65"/>
        <v>44.087499999999999</v>
      </c>
      <c r="CX153" s="3">
        <f t="shared" si="68"/>
        <v>9.9999999999999947</v>
      </c>
      <c r="CY153" s="3">
        <v>2.5</v>
      </c>
      <c r="CZ153" s="3"/>
      <c r="DA153" s="3"/>
      <c r="DB153" s="3"/>
      <c r="DC153" s="3"/>
      <c r="DD153" s="3"/>
      <c r="DE153" s="3"/>
      <c r="DF153" s="3"/>
      <c r="DG153" s="3"/>
      <c r="DH153" s="3"/>
      <c r="DI153" s="3"/>
      <c r="DJ153" s="3"/>
      <c r="DK153" s="3"/>
      <c r="DL153" s="3"/>
      <c r="DM153" s="3"/>
    </row>
    <row r="154" spans="15:117">
      <c r="O154" s="3">
        <f t="shared" si="59"/>
        <v>22.75</v>
      </c>
      <c r="P154" s="3">
        <f t="shared" si="60"/>
        <v>43</v>
      </c>
      <c r="Q154" s="3">
        <f t="shared" si="56"/>
        <v>9.4000000000000146</v>
      </c>
      <c r="R154" s="3">
        <v>2</v>
      </c>
      <c r="AP154" s="3">
        <f t="shared" si="61"/>
        <v>22.75</v>
      </c>
      <c r="AQ154" s="3">
        <f t="shared" si="62"/>
        <v>42.75</v>
      </c>
      <c r="AR154" s="3">
        <f t="shared" si="72"/>
        <v>9.1499999999999826</v>
      </c>
      <c r="AS154" s="3">
        <v>2</v>
      </c>
      <c r="CK154" s="3"/>
      <c r="CL154" s="3"/>
      <c r="CM154" s="3"/>
      <c r="CN154" s="3"/>
      <c r="CS154" s="3"/>
      <c r="CT154" s="3"/>
      <c r="CU154" s="3"/>
      <c r="CV154" s="3">
        <f t="shared" si="64"/>
        <v>22.75</v>
      </c>
      <c r="CW154" s="3">
        <f t="shared" si="65"/>
        <v>44.712499999999999</v>
      </c>
      <c r="CX154" s="3">
        <f t="shared" si="68"/>
        <v>9.9999999999999947</v>
      </c>
      <c r="CY154" s="3">
        <v>2.5</v>
      </c>
      <c r="CZ154" s="3"/>
      <c r="DA154" s="3"/>
      <c r="DB154" s="3"/>
      <c r="DC154" s="3"/>
      <c r="DD154" s="3"/>
      <c r="DE154" s="3"/>
      <c r="DF154" s="3"/>
      <c r="DG154" s="3"/>
      <c r="DH154" s="3"/>
      <c r="DI154" s="3"/>
      <c r="DJ154" s="3"/>
      <c r="DK154" s="3"/>
      <c r="DL154" s="3"/>
      <c r="DM154" s="3"/>
    </row>
    <row r="155" spans="15:117">
      <c r="O155" s="3">
        <f t="shared" si="59"/>
        <v>23</v>
      </c>
      <c r="P155" s="3">
        <f t="shared" si="60"/>
        <v>43.5</v>
      </c>
      <c r="Q155" s="3">
        <f t="shared" si="56"/>
        <v>9.4500000000000153</v>
      </c>
      <c r="R155" s="3">
        <v>2</v>
      </c>
      <c r="AP155" s="3">
        <f t="shared" si="61"/>
        <v>23</v>
      </c>
      <c r="AQ155" s="3">
        <f t="shared" si="62"/>
        <v>43.25</v>
      </c>
      <c r="AR155" s="3">
        <f t="shared" si="72"/>
        <v>9.0999999999999819</v>
      </c>
      <c r="AS155" s="3">
        <v>2</v>
      </c>
      <c r="CK155" s="3"/>
      <c r="CL155" s="3"/>
      <c r="CM155" s="3"/>
      <c r="CN155" s="3"/>
      <c r="CS155" s="3"/>
      <c r="CT155" s="3"/>
      <c r="CU155" s="3"/>
      <c r="CV155" s="3">
        <f t="shared" si="64"/>
        <v>23</v>
      </c>
      <c r="CW155" s="3">
        <f t="shared" si="65"/>
        <v>45.337499999999999</v>
      </c>
      <c r="CX155" s="3">
        <f t="shared" si="68"/>
        <v>9.9999999999999947</v>
      </c>
      <c r="CY155" s="3">
        <v>2.5</v>
      </c>
      <c r="CZ155" s="3"/>
      <c r="DA155" s="3"/>
      <c r="DB155" s="3"/>
      <c r="DC155" s="3"/>
      <c r="DD155" s="3"/>
      <c r="DE155" s="3"/>
      <c r="DF155" s="3"/>
      <c r="DG155" s="3"/>
      <c r="DH155" s="3"/>
      <c r="DI155" s="3"/>
      <c r="DJ155" s="3"/>
      <c r="DK155" s="3"/>
      <c r="DL155" s="3"/>
      <c r="DM155" s="3"/>
    </row>
    <row r="156" spans="15:117">
      <c r="O156" s="3">
        <f t="shared" si="59"/>
        <v>23.25</v>
      </c>
      <c r="P156" s="3">
        <f t="shared" si="60"/>
        <v>44</v>
      </c>
      <c r="Q156" s="3">
        <f t="shared" si="56"/>
        <v>9.500000000000016</v>
      </c>
      <c r="R156" s="3">
        <v>2</v>
      </c>
      <c r="AP156" s="3">
        <f t="shared" si="61"/>
        <v>23.25</v>
      </c>
      <c r="AQ156" s="3">
        <f t="shared" si="62"/>
        <v>43.75</v>
      </c>
      <c r="AR156" s="3">
        <f t="shared" si="72"/>
        <v>9.0499999999999812</v>
      </c>
      <c r="AS156" s="3">
        <v>2</v>
      </c>
      <c r="CK156" s="3"/>
      <c r="CL156" s="3"/>
      <c r="CM156" s="3"/>
      <c r="CN156" s="3"/>
      <c r="CS156" s="3"/>
      <c r="CT156" s="3"/>
      <c r="CU156" s="3"/>
      <c r="CV156" s="3">
        <f t="shared" si="64"/>
        <v>23.25</v>
      </c>
      <c r="CW156" s="3">
        <f t="shared" si="65"/>
        <v>45.962499999999999</v>
      </c>
      <c r="CX156" s="3">
        <f t="shared" si="68"/>
        <v>9.9999999999999947</v>
      </c>
      <c r="CY156" s="3">
        <v>2.5</v>
      </c>
      <c r="CZ156" s="3"/>
      <c r="DA156" s="3"/>
      <c r="DB156" s="3"/>
      <c r="DC156" s="3"/>
      <c r="DD156" s="3"/>
      <c r="DE156" s="3"/>
      <c r="DF156" s="3"/>
      <c r="DG156" s="3"/>
      <c r="DH156" s="3"/>
      <c r="DI156" s="3"/>
      <c r="DJ156" s="3"/>
      <c r="DK156" s="3"/>
      <c r="DL156" s="3"/>
      <c r="DM156" s="3"/>
    </row>
    <row r="157" spans="15:117">
      <c r="O157" s="3">
        <f t="shared" si="59"/>
        <v>23.5</v>
      </c>
      <c r="P157" s="3">
        <f t="shared" si="60"/>
        <v>44.5</v>
      </c>
      <c r="Q157" s="3">
        <f>Q156+0.05</f>
        <v>9.5500000000000167</v>
      </c>
      <c r="R157" s="3">
        <v>2</v>
      </c>
      <c r="AP157" s="3">
        <f t="shared" si="61"/>
        <v>23.5</v>
      </c>
      <c r="AQ157" s="3">
        <f t="shared" si="62"/>
        <v>44.25</v>
      </c>
      <c r="AR157" s="3">
        <f t="shared" si="72"/>
        <v>8.9999999999999805</v>
      </c>
      <c r="AS157" s="3">
        <v>2</v>
      </c>
      <c r="CK157" s="3"/>
      <c r="CL157" s="3"/>
      <c r="CM157" s="3"/>
      <c r="CN157" s="3"/>
      <c r="CS157" s="3"/>
      <c r="CT157" s="3"/>
      <c r="CU157" s="3"/>
      <c r="CV157" s="3">
        <f t="shared" si="64"/>
        <v>23.5</v>
      </c>
      <c r="CW157" s="3">
        <f t="shared" si="65"/>
        <v>46.587499999999999</v>
      </c>
      <c r="CX157" s="3">
        <f t="shared" si="68"/>
        <v>9.9999999999999947</v>
      </c>
      <c r="CY157" s="3">
        <v>2.5</v>
      </c>
      <c r="CZ157" s="3"/>
      <c r="DA157" s="3"/>
      <c r="DB157" s="3"/>
      <c r="DC157" s="3"/>
      <c r="DD157" s="3"/>
      <c r="DE157" s="3"/>
      <c r="DF157" s="3"/>
      <c r="DG157" s="3"/>
      <c r="DH157" s="3"/>
      <c r="DI157" s="3"/>
      <c r="DJ157" s="3"/>
      <c r="DK157" s="3"/>
      <c r="DL157" s="3"/>
      <c r="DM157" s="3"/>
    </row>
    <row r="158" spans="15:117">
      <c r="O158" s="3">
        <f t="shared" si="59"/>
        <v>23.75</v>
      </c>
      <c r="P158" s="3">
        <f t="shared" si="60"/>
        <v>45</v>
      </c>
      <c r="Q158" s="3">
        <f t="shared" si="56"/>
        <v>9.6000000000000174</v>
      </c>
      <c r="R158" s="3">
        <v>2</v>
      </c>
      <c r="AP158" s="3">
        <f t="shared" si="61"/>
        <v>23.75</v>
      </c>
      <c r="AQ158" s="3">
        <f t="shared" si="62"/>
        <v>44.75</v>
      </c>
      <c r="AR158" s="3">
        <f t="shared" si="72"/>
        <v>8.9499999999999797</v>
      </c>
      <c r="AS158" s="3">
        <v>2</v>
      </c>
      <c r="CK158" s="3"/>
      <c r="CL158" s="3"/>
      <c r="CM158" s="3"/>
      <c r="CN158" s="3"/>
      <c r="CS158" s="3"/>
      <c r="CT158" s="3"/>
      <c r="CU158" s="3"/>
      <c r="CV158" s="3">
        <f t="shared" si="64"/>
        <v>23.75</v>
      </c>
      <c r="CW158" s="3">
        <f t="shared" si="65"/>
        <v>47.212499999999999</v>
      </c>
      <c r="CX158" s="3">
        <f t="shared" si="68"/>
        <v>9.9999999999999947</v>
      </c>
      <c r="CY158" s="3">
        <v>2.5</v>
      </c>
      <c r="CZ158" s="3"/>
      <c r="DA158" s="3"/>
      <c r="DB158" s="3"/>
      <c r="DC158" s="3"/>
      <c r="DD158" s="3"/>
      <c r="DE158" s="3"/>
      <c r="DF158" s="3"/>
      <c r="DG158" s="3"/>
      <c r="DH158" s="3"/>
      <c r="DI158" s="3"/>
      <c r="DJ158" s="3"/>
      <c r="DK158" s="3"/>
      <c r="DL158" s="3"/>
      <c r="DM158" s="3"/>
    </row>
    <row r="159" spans="15:117">
      <c r="O159" s="3">
        <f t="shared" si="59"/>
        <v>24</v>
      </c>
      <c r="P159" s="3">
        <f t="shared" si="60"/>
        <v>45.5</v>
      </c>
      <c r="Q159" s="3">
        <f t="shared" si="56"/>
        <v>9.6500000000000181</v>
      </c>
      <c r="R159" s="3">
        <v>2</v>
      </c>
      <c r="AP159" s="3">
        <f t="shared" si="61"/>
        <v>24</v>
      </c>
      <c r="AQ159" s="3">
        <f t="shared" si="62"/>
        <v>45.25</v>
      </c>
      <c r="AR159" s="3">
        <f t="shared" si="72"/>
        <v>8.899999999999979</v>
      </c>
      <c r="AS159" s="3">
        <v>2</v>
      </c>
      <c r="CK159" s="3"/>
      <c r="CL159" s="3"/>
      <c r="CM159" s="3"/>
      <c r="CN159" s="3"/>
      <c r="CS159" s="3"/>
      <c r="CT159" s="3"/>
      <c r="CU159" s="3"/>
      <c r="CV159" s="3">
        <f t="shared" si="64"/>
        <v>24</v>
      </c>
      <c r="CW159" s="3">
        <f t="shared" si="65"/>
        <v>47.837499999999999</v>
      </c>
      <c r="CX159" s="3">
        <f t="shared" si="68"/>
        <v>9.9999999999999947</v>
      </c>
      <c r="CY159" s="3">
        <v>2.5</v>
      </c>
      <c r="CZ159" s="3"/>
      <c r="DA159" s="3"/>
      <c r="DB159" s="3"/>
      <c r="DC159" s="3"/>
      <c r="DD159" s="3"/>
      <c r="DE159" s="3"/>
      <c r="DF159" s="3"/>
      <c r="DG159" s="3"/>
      <c r="DH159" s="3"/>
      <c r="DI159" s="3"/>
      <c r="DJ159" s="3"/>
      <c r="DK159" s="3"/>
      <c r="DL159" s="3"/>
      <c r="DM159" s="3"/>
    </row>
    <row r="160" spans="15:117">
      <c r="O160" s="3">
        <f t="shared" si="59"/>
        <v>24.25</v>
      </c>
      <c r="P160" s="3">
        <f t="shared" si="60"/>
        <v>46</v>
      </c>
      <c r="Q160" s="3">
        <f t="shared" si="56"/>
        <v>9.7000000000000188</v>
      </c>
      <c r="R160" s="3">
        <v>2</v>
      </c>
      <c r="AP160" s="3">
        <f t="shared" si="61"/>
        <v>24.25</v>
      </c>
      <c r="AQ160" s="3">
        <f t="shared" si="62"/>
        <v>45.75</v>
      </c>
      <c r="AR160" s="3">
        <f t="shared" si="72"/>
        <v>8.8499999999999783</v>
      </c>
      <c r="AS160" s="3">
        <v>2</v>
      </c>
      <c r="CK160" s="3"/>
      <c r="CL160" s="3"/>
      <c r="CM160" s="3"/>
      <c r="CN160" s="3"/>
      <c r="CS160" s="3"/>
      <c r="CT160" s="3"/>
      <c r="CU160" s="3"/>
      <c r="CV160" s="3">
        <f t="shared" si="64"/>
        <v>24.25</v>
      </c>
      <c r="CW160" s="3">
        <f t="shared" si="65"/>
        <v>48.462499999999999</v>
      </c>
      <c r="CX160" s="3">
        <f t="shared" si="68"/>
        <v>9.9999999999999947</v>
      </c>
      <c r="CY160" s="3">
        <v>2.5</v>
      </c>
      <c r="CZ160" s="3"/>
      <c r="DA160" s="3"/>
      <c r="DB160" s="3"/>
      <c r="DC160" s="3"/>
      <c r="DD160" s="3"/>
      <c r="DE160" s="3"/>
      <c r="DF160" s="3"/>
      <c r="DG160" s="3"/>
      <c r="DH160" s="3"/>
      <c r="DI160" s="3"/>
      <c r="DJ160" s="3"/>
      <c r="DK160" s="3"/>
      <c r="DL160" s="3"/>
      <c r="DM160" s="3"/>
    </row>
    <row r="161" spans="15:117">
      <c r="O161" s="3">
        <f t="shared" si="59"/>
        <v>24.5</v>
      </c>
      <c r="P161" s="3">
        <f t="shared" si="60"/>
        <v>46.5</v>
      </c>
      <c r="Q161" s="3">
        <f t="shared" si="56"/>
        <v>9.7500000000000195</v>
      </c>
      <c r="R161" s="3">
        <v>2</v>
      </c>
      <c r="AP161" s="3">
        <f t="shared" si="61"/>
        <v>24.5</v>
      </c>
      <c r="AQ161" s="3">
        <f t="shared" si="62"/>
        <v>46.25</v>
      </c>
      <c r="AR161" s="3">
        <f t="shared" si="72"/>
        <v>8.7999999999999776</v>
      </c>
      <c r="AS161" s="3">
        <v>2</v>
      </c>
      <c r="CK161" s="3"/>
      <c r="CL161" s="3"/>
      <c r="CM161" s="3"/>
      <c r="CN161" s="3"/>
      <c r="CS161" s="3"/>
      <c r="CT161" s="3"/>
      <c r="CU161" s="3"/>
      <c r="CV161" s="3">
        <f t="shared" si="64"/>
        <v>24.5</v>
      </c>
      <c r="CW161" s="3">
        <f t="shared" si="65"/>
        <v>49.087499999999999</v>
      </c>
      <c r="CX161" s="3">
        <f t="shared" si="68"/>
        <v>9.9999999999999947</v>
      </c>
      <c r="CY161" s="3">
        <v>2.5</v>
      </c>
      <c r="CZ161" s="3"/>
      <c r="DA161" s="3"/>
      <c r="DB161" s="3"/>
      <c r="DC161" s="3"/>
      <c r="DD161" s="3"/>
      <c r="DE161" s="3"/>
      <c r="DF161" s="3"/>
      <c r="DG161" s="3"/>
      <c r="DH161" s="3"/>
      <c r="DI161" s="3"/>
      <c r="DJ161" s="3"/>
      <c r="DK161" s="3"/>
      <c r="DL161" s="3"/>
      <c r="DM161" s="3"/>
    </row>
    <row r="162" spans="15:117">
      <c r="O162" s="3">
        <f t="shared" si="59"/>
        <v>24.75</v>
      </c>
      <c r="P162" s="3">
        <f t="shared" si="60"/>
        <v>47</v>
      </c>
      <c r="Q162" s="3">
        <f>Q161+0.05</f>
        <v>9.8000000000000203</v>
      </c>
      <c r="R162" s="3">
        <v>2</v>
      </c>
      <c r="AP162" s="3">
        <f t="shared" si="61"/>
        <v>24.75</v>
      </c>
      <c r="AQ162" s="3">
        <f t="shared" si="62"/>
        <v>46.75</v>
      </c>
      <c r="AR162" s="3">
        <f t="shared" si="72"/>
        <v>8.7499999999999769</v>
      </c>
      <c r="AS162" s="3">
        <v>2</v>
      </c>
      <c r="CK162" s="3"/>
      <c r="CL162" s="3"/>
      <c r="CM162" s="3"/>
      <c r="CN162" s="3"/>
      <c r="CS162" s="3"/>
      <c r="CT162" s="3"/>
      <c r="CU162" s="3"/>
      <c r="CV162" s="3">
        <f t="shared" si="64"/>
        <v>24.75</v>
      </c>
      <c r="CW162" s="3">
        <f t="shared" si="65"/>
        <v>49.087499999999999</v>
      </c>
      <c r="CX162" s="3"/>
      <c r="CY162" s="3"/>
      <c r="CZ162" s="3"/>
      <c r="DA162" s="3"/>
      <c r="DB162" s="3"/>
      <c r="DC162" s="3"/>
      <c r="DD162" s="3"/>
      <c r="DE162" s="3"/>
      <c r="DF162" s="3"/>
      <c r="DG162" s="3"/>
      <c r="DH162" s="3"/>
      <c r="DI162" s="3"/>
      <c r="DJ162" s="3"/>
      <c r="DK162" s="3"/>
      <c r="DL162" s="3"/>
      <c r="DM162" s="3"/>
    </row>
    <row r="163" spans="15:117">
      <c r="O163" s="3">
        <f t="shared" si="59"/>
        <v>25</v>
      </c>
      <c r="P163" s="3">
        <f t="shared" si="60"/>
        <v>47.5</v>
      </c>
      <c r="Q163" s="3">
        <f t="shared" si="56"/>
        <v>9.850000000000021</v>
      </c>
      <c r="R163" s="3">
        <v>2</v>
      </c>
      <c r="AP163" s="3">
        <f t="shared" si="61"/>
        <v>25</v>
      </c>
      <c r="AQ163" s="3">
        <f t="shared" si="62"/>
        <v>47.25</v>
      </c>
      <c r="AR163" s="3">
        <f t="shared" si="72"/>
        <v>8.6999999999999762</v>
      </c>
      <c r="AS163" s="3">
        <v>2</v>
      </c>
      <c r="CK163" s="3"/>
      <c r="CL163" s="3"/>
      <c r="CM163" s="3"/>
      <c r="CN163" s="3"/>
      <c r="CS163" s="3"/>
      <c r="CT163" s="3"/>
      <c r="CU163" s="3"/>
      <c r="CV163" s="3">
        <f t="shared" si="64"/>
        <v>25</v>
      </c>
      <c r="CW163" s="3">
        <f t="shared" si="65"/>
        <v>49.087499999999999</v>
      </c>
      <c r="CX163" s="3"/>
      <c r="CY163" s="3"/>
      <c r="CZ163" s="3"/>
      <c r="DA163" s="3"/>
      <c r="DB163" s="3"/>
      <c r="DC163" s="3"/>
      <c r="DD163" s="3"/>
      <c r="DE163" s="3"/>
      <c r="DF163" s="3"/>
      <c r="DG163" s="3"/>
      <c r="DH163" s="3"/>
      <c r="DI163" s="3"/>
      <c r="DJ163" s="3"/>
      <c r="DK163" s="3"/>
      <c r="DL163" s="3"/>
      <c r="DM163" s="3"/>
    </row>
    <row r="164" spans="15:117">
      <c r="O164" s="3">
        <f t="shared" si="59"/>
        <v>25.25</v>
      </c>
      <c r="P164" s="3">
        <f t="shared" si="60"/>
        <v>48</v>
      </c>
      <c r="Q164" s="3">
        <f t="shared" si="56"/>
        <v>9.9000000000000217</v>
      </c>
      <c r="R164" s="3">
        <v>2</v>
      </c>
      <c r="AP164" s="3">
        <f t="shared" si="61"/>
        <v>25.25</v>
      </c>
      <c r="AQ164" s="3">
        <f t="shared" si="62"/>
        <v>47.75</v>
      </c>
      <c r="AR164" s="3">
        <f t="shared" si="72"/>
        <v>8.6499999999999755</v>
      </c>
      <c r="AS164" s="3">
        <v>2</v>
      </c>
      <c r="CK164" s="3"/>
      <c r="CL164" s="3"/>
      <c r="CM164" s="3"/>
      <c r="CN164" s="3"/>
      <c r="CS164" s="3"/>
      <c r="CT164" s="3"/>
      <c r="CU164" s="3"/>
      <c r="CV164" s="3">
        <f t="shared" si="64"/>
        <v>25.25</v>
      </c>
      <c r="CW164" s="3">
        <f t="shared" si="65"/>
        <v>49.087499999999999</v>
      </c>
      <c r="CX164" s="3"/>
      <c r="CY164" s="3"/>
      <c r="CZ164" s="3"/>
      <c r="DA164" s="3"/>
      <c r="DB164" s="3"/>
      <c r="DC164" s="3"/>
      <c r="DD164" s="3"/>
      <c r="DE164" s="3"/>
      <c r="DF164" s="3"/>
      <c r="DG164" s="3"/>
      <c r="DH164" s="3"/>
      <c r="DI164" s="3"/>
      <c r="DJ164" s="3"/>
      <c r="DK164" s="3"/>
      <c r="DL164" s="3"/>
      <c r="DM164" s="3"/>
    </row>
    <row r="165" spans="15:117">
      <c r="O165" s="3">
        <f t="shared" si="59"/>
        <v>25.5</v>
      </c>
      <c r="P165" s="3">
        <f t="shared" si="60"/>
        <v>48.5</v>
      </c>
      <c r="Q165" s="3">
        <f t="shared" si="56"/>
        <v>9.9500000000000224</v>
      </c>
      <c r="R165" s="3">
        <v>2</v>
      </c>
      <c r="AP165" s="3">
        <f t="shared" si="61"/>
        <v>25.5</v>
      </c>
      <c r="AQ165" s="3">
        <f t="shared" si="62"/>
        <v>48.25</v>
      </c>
      <c r="AR165" s="3">
        <f t="shared" si="72"/>
        <v>8.5999999999999748</v>
      </c>
      <c r="AS165" s="3">
        <v>2</v>
      </c>
      <c r="CK165" s="3"/>
      <c r="CL165" s="3"/>
      <c r="CM165" s="3"/>
      <c r="CN165" s="3"/>
      <c r="CS165" s="3"/>
      <c r="CT165" s="3"/>
      <c r="CU165" s="3"/>
      <c r="CV165" s="3">
        <f t="shared" si="64"/>
        <v>25.5</v>
      </c>
      <c r="CW165" s="3">
        <f t="shared" si="65"/>
        <v>49.087499999999999</v>
      </c>
      <c r="CX165" s="3"/>
      <c r="CY165" s="3"/>
      <c r="CZ165" s="3"/>
      <c r="DA165" s="3"/>
      <c r="DB165" s="3"/>
      <c r="DC165" s="3"/>
      <c r="DD165" s="3"/>
      <c r="DE165" s="3"/>
      <c r="DF165" s="3"/>
      <c r="DG165" s="3"/>
      <c r="DH165" s="3"/>
      <c r="DI165" s="3"/>
      <c r="DJ165" s="3"/>
      <c r="DK165" s="3"/>
      <c r="DL165" s="3"/>
      <c r="DM165" s="3"/>
    </row>
    <row r="166" spans="15:117">
      <c r="O166" s="3">
        <f t="shared" si="59"/>
        <v>25.75</v>
      </c>
      <c r="P166" s="3">
        <f t="shared" si="60"/>
        <v>49</v>
      </c>
      <c r="Q166" s="3">
        <f t="shared" si="56"/>
        <v>10.000000000000023</v>
      </c>
      <c r="R166" s="3">
        <v>2</v>
      </c>
      <c r="AP166" s="3">
        <f t="shared" si="61"/>
        <v>25.75</v>
      </c>
      <c r="AQ166" s="3">
        <f t="shared" si="62"/>
        <v>48.75</v>
      </c>
      <c r="AR166" s="3">
        <f t="shared" si="72"/>
        <v>8.5499999999999741</v>
      </c>
      <c r="AS166" s="3">
        <v>2</v>
      </c>
      <c r="CK166" s="3"/>
      <c r="CL166" s="3"/>
      <c r="CM166" s="3"/>
      <c r="CN166" s="3"/>
      <c r="CS166" s="3"/>
      <c r="CT166" s="3"/>
      <c r="CU166" s="3"/>
      <c r="CV166" s="3">
        <f t="shared" si="64"/>
        <v>25.75</v>
      </c>
      <c r="CW166" s="3">
        <f t="shared" si="65"/>
        <v>49.087499999999999</v>
      </c>
      <c r="CX166" s="3"/>
      <c r="CY166" s="3"/>
      <c r="CZ166" s="3"/>
      <c r="DA166" s="3"/>
      <c r="DB166" s="3"/>
      <c r="DC166" s="3"/>
      <c r="DD166" s="3"/>
      <c r="DE166" s="3"/>
      <c r="DF166" s="3"/>
      <c r="DG166" s="3"/>
      <c r="DH166" s="3"/>
      <c r="DI166" s="3"/>
      <c r="DJ166" s="3"/>
      <c r="DK166" s="3"/>
      <c r="DL166" s="3"/>
      <c r="DM166" s="3"/>
    </row>
    <row r="167" spans="15:117">
      <c r="O167" s="3">
        <f t="shared" si="59"/>
        <v>26</v>
      </c>
      <c r="P167" s="3">
        <f t="shared" si="60"/>
        <v>49.5</v>
      </c>
      <c r="R167" s="3">
        <v>2</v>
      </c>
      <c r="AP167" s="3">
        <f t="shared" si="61"/>
        <v>26</v>
      </c>
      <c r="AQ167" s="3">
        <f t="shared" si="62"/>
        <v>49.25</v>
      </c>
      <c r="AR167" s="3">
        <f t="shared" si="72"/>
        <v>8.4999999999999734</v>
      </c>
      <c r="AS167" s="3">
        <v>2</v>
      </c>
      <c r="CK167" s="3"/>
      <c r="CL167" s="3"/>
      <c r="CM167" s="3"/>
      <c r="CN167" s="3"/>
      <c r="CS167" s="3"/>
      <c r="CT167" s="3"/>
      <c r="CU167" s="3"/>
      <c r="CV167" s="3">
        <f t="shared" si="64"/>
        <v>26</v>
      </c>
      <c r="CW167" s="3">
        <f t="shared" si="65"/>
        <v>49.087499999999999</v>
      </c>
      <c r="CX167" s="3"/>
      <c r="CY167" s="3"/>
      <c r="CZ167" s="3"/>
      <c r="DA167" s="3"/>
      <c r="DB167" s="3"/>
      <c r="DC167" s="3"/>
      <c r="DD167" s="3"/>
      <c r="DE167" s="3"/>
      <c r="DF167" s="3"/>
      <c r="DG167" s="3"/>
      <c r="DH167" s="3"/>
      <c r="DI167" s="3"/>
      <c r="DJ167" s="3"/>
      <c r="DK167" s="3"/>
      <c r="DL167" s="3"/>
      <c r="DM167" s="3"/>
    </row>
    <row r="168" spans="15:117">
      <c r="O168" s="3">
        <f t="shared" si="59"/>
        <v>26.25</v>
      </c>
      <c r="P168" s="3">
        <f t="shared" si="60"/>
        <v>50</v>
      </c>
      <c r="R168" s="3">
        <v>2</v>
      </c>
      <c r="AP168" s="3">
        <f t="shared" si="61"/>
        <v>26.25</v>
      </c>
      <c r="AQ168" s="3">
        <f t="shared" si="62"/>
        <v>49.75</v>
      </c>
      <c r="AS168" s="3">
        <v>2</v>
      </c>
      <c r="CK168" s="3"/>
      <c r="CL168" s="3"/>
      <c r="CM168" s="3"/>
      <c r="CN168" s="3"/>
      <c r="CS168" s="3"/>
      <c r="CT168" s="3"/>
      <c r="CU168" s="3"/>
      <c r="CV168" s="3">
        <f t="shared" si="64"/>
        <v>26.25</v>
      </c>
      <c r="CW168" s="3">
        <f t="shared" si="65"/>
        <v>49.087499999999999</v>
      </c>
      <c r="CX168" s="3"/>
      <c r="CY168" s="3"/>
      <c r="CZ168" s="3"/>
      <c r="DA168" s="3"/>
      <c r="DB168" s="3"/>
      <c r="DC168" s="3"/>
      <c r="DD168" s="3"/>
      <c r="DE168" s="3"/>
      <c r="DF168" s="3"/>
      <c r="DG168" s="3"/>
      <c r="DH168" s="3"/>
      <c r="DI168" s="3"/>
      <c r="DJ168" s="3"/>
      <c r="DK168" s="3"/>
      <c r="DL168" s="3"/>
      <c r="DM168" s="3"/>
    </row>
    <row r="169" spans="15:117">
      <c r="O169" s="3">
        <f t="shared" si="59"/>
        <v>26.5</v>
      </c>
      <c r="P169" s="3">
        <f t="shared" si="60"/>
        <v>50.5</v>
      </c>
      <c r="R169" s="3">
        <v>2</v>
      </c>
      <c r="AP169" s="3">
        <f t="shared" si="61"/>
        <v>26.5</v>
      </c>
      <c r="AQ169" s="3">
        <f t="shared" si="62"/>
        <v>50.25</v>
      </c>
      <c r="AS169" s="3">
        <v>2</v>
      </c>
      <c r="CK169" s="3"/>
      <c r="CL169" s="3"/>
      <c r="CM169" s="3"/>
      <c r="CN169" s="3"/>
      <c r="CS169" s="3"/>
      <c r="CT169" s="3"/>
      <c r="CU169" s="3"/>
      <c r="CV169" s="3">
        <f t="shared" si="64"/>
        <v>26.5</v>
      </c>
      <c r="CW169" s="3">
        <f t="shared" si="65"/>
        <v>49.087499999999999</v>
      </c>
      <c r="CX169" s="3"/>
      <c r="CY169" s="3"/>
      <c r="CZ169" s="3"/>
      <c r="DA169" s="3"/>
      <c r="DB169" s="3"/>
      <c r="DC169" s="3"/>
      <c r="DD169" s="3"/>
      <c r="DE169" s="3"/>
      <c r="DF169" s="3"/>
      <c r="DG169" s="3"/>
      <c r="DH169" s="3"/>
      <c r="DI169" s="3"/>
      <c r="DJ169" s="3"/>
      <c r="DK169" s="3"/>
      <c r="DL169" s="3"/>
      <c r="DM169" s="3"/>
    </row>
    <row r="170" spans="15:117">
      <c r="O170" s="3">
        <f t="shared" si="59"/>
        <v>26.75</v>
      </c>
      <c r="P170" s="3">
        <f t="shared" si="60"/>
        <v>51</v>
      </c>
      <c r="R170" s="3">
        <v>2</v>
      </c>
      <c r="AP170" s="3">
        <f t="shared" si="61"/>
        <v>26.75</v>
      </c>
      <c r="AQ170" s="3">
        <f t="shared" si="62"/>
        <v>50.75</v>
      </c>
      <c r="AS170" s="3">
        <v>2</v>
      </c>
      <c r="CK170" s="3"/>
      <c r="CL170" s="3"/>
      <c r="CM170" s="3"/>
      <c r="CN170" s="3"/>
      <c r="CS170" s="3"/>
      <c r="CT170" s="3"/>
      <c r="CU170" s="3"/>
      <c r="CV170" s="3">
        <f t="shared" si="64"/>
        <v>26.75</v>
      </c>
      <c r="CW170" s="3">
        <f t="shared" si="65"/>
        <v>49.087499999999999</v>
      </c>
      <c r="CX170" s="3"/>
      <c r="CY170" s="3"/>
      <c r="CZ170" s="3"/>
      <c r="DA170" s="3"/>
      <c r="DB170" s="3"/>
      <c r="DC170" s="3"/>
      <c r="DD170" s="3"/>
      <c r="DE170" s="3"/>
      <c r="DF170" s="3"/>
      <c r="DG170" s="3"/>
      <c r="DH170" s="3"/>
      <c r="DI170" s="3"/>
      <c r="DJ170" s="3"/>
      <c r="DK170" s="3"/>
      <c r="DL170" s="3"/>
      <c r="DM170" s="3"/>
    </row>
    <row r="171" spans="15:117">
      <c r="O171" s="3">
        <f t="shared" si="59"/>
        <v>27</v>
      </c>
      <c r="P171" s="3">
        <f t="shared" si="60"/>
        <v>51.5</v>
      </c>
      <c r="R171" s="3">
        <v>2</v>
      </c>
      <c r="AP171" s="3">
        <f t="shared" si="61"/>
        <v>27</v>
      </c>
      <c r="AQ171" s="3">
        <f t="shared" si="62"/>
        <v>51.25</v>
      </c>
      <c r="AS171" s="3">
        <v>2</v>
      </c>
      <c r="CK171" s="3"/>
      <c r="CL171" s="3"/>
      <c r="CM171" s="3"/>
      <c r="CN171" s="3"/>
      <c r="CS171" s="3"/>
      <c r="CT171" s="3"/>
      <c r="CU171" s="3"/>
      <c r="CV171" s="3">
        <f t="shared" si="64"/>
        <v>27</v>
      </c>
      <c r="CW171" s="3">
        <f t="shared" si="65"/>
        <v>49.087499999999999</v>
      </c>
      <c r="CX171" s="3"/>
      <c r="CY171" s="3"/>
      <c r="CZ171" s="3"/>
      <c r="DA171" s="3"/>
      <c r="DB171" s="3"/>
      <c r="DC171" s="3"/>
      <c r="DD171" s="3"/>
      <c r="DE171" s="3"/>
      <c r="DF171" s="3"/>
      <c r="DG171" s="3"/>
      <c r="DH171" s="3"/>
      <c r="DI171" s="3"/>
      <c r="DJ171" s="3"/>
      <c r="DK171" s="3"/>
      <c r="DL171" s="3"/>
      <c r="DM171" s="3"/>
    </row>
    <row r="172" spans="15:117">
      <c r="O172" s="3">
        <f t="shared" si="59"/>
        <v>27.25</v>
      </c>
      <c r="P172" s="3">
        <f t="shared" si="60"/>
        <v>52</v>
      </c>
      <c r="R172" s="3">
        <v>2</v>
      </c>
      <c r="AP172" s="3">
        <f t="shared" si="61"/>
        <v>27.25</v>
      </c>
      <c r="AQ172" s="3">
        <f t="shared" si="62"/>
        <v>51.75</v>
      </c>
      <c r="AS172" s="3">
        <v>2</v>
      </c>
      <c r="CK172" s="3"/>
      <c r="CL172" s="3"/>
      <c r="CM172" s="3"/>
      <c r="CN172" s="3"/>
      <c r="CS172" s="3"/>
      <c r="CT172" s="3"/>
      <c r="CU172" s="3"/>
      <c r="CV172" s="3">
        <f t="shared" si="64"/>
        <v>27.25</v>
      </c>
      <c r="CW172" s="3">
        <f t="shared" si="65"/>
        <v>49.087499999999999</v>
      </c>
      <c r="CX172" s="3"/>
      <c r="CY172" s="3"/>
      <c r="CZ172" s="3"/>
      <c r="DA172" s="3"/>
      <c r="DB172" s="3"/>
      <c r="DC172" s="3"/>
      <c r="DD172" s="3"/>
      <c r="DE172" s="3"/>
      <c r="DF172" s="3"/>
      <c r="DG172" s="3"/>
      <c r="DH172" s="3"/>
      <c r="DI172" s="3"/>
      <c r="DJ172" s="3"/>
      <c r="DK172" s="3"/>
      <c r="DL172" s="3"/>
      <c r="DM172" s="3"/>
    </row>
    <row r="173" spans="15:117">
      <c r="O173" s="3">
        <f t="shared" si="59"/>
        <v>27.5</v>
      </c>
      <c r="P173" s="3">
        <f t="shared" si="60"/>
        <v>52.5</v>
      </c>
      <c r="R173" s="3">
        <v>2</v>
      </c>
      <c r="AP173" s="3">
        <f t="shared" si="61"/>
        <v>27.5</v>
      </c>
      <c r="AQ173" s="3">
        <f t="shared" si="62"/>
        <v>52.25</v>
      </c>
      <c r="AS173" s="3">
        <v>2</v>
      </c>
      <c r="CK173" s="3"/>
      <c r="CL173" s="3"/>
      <c r="CM173" s="3"/>
      <c r="CN173" s="3"/>
      <c r="CS173" s="3"/>
      <c r="CT173" s="3"/>
      <c r="CU173" s="3"/>
      <c r="CV173" s="3">
        <f t="shared" si="64"/>
        <v>27.5</v>
      </c>
      <c r="CW173" s="3">
        <f t="shared" si="65"/>
        <v>49.087499999999999</v>
      </c>
      <c r="CX173" s="3"/>
      <c r="CY173" s="3"/>
      <c r="CZ173" s="3"/>
      <c r="DA173" s="3"/>
      <c r="DB173" s="3"/>
      <c r="DC173" s="3"/>
      <c r="DD173" s="3"/>
      <c r="DE173" s="3"/>
      <c r="DF173" s="3"/>
      <c r="DG173" s="3"/>
      <c r="DH173" s="3"/>
      <c r="DI173" s="3"/>
      <c r="DJ173" s="3"/>
      <c r="DK173" s="3"/>
      <c r="DL173" s="3"/>
      <c r="DM173" s="3"/>
    </row>
    <row r="174" spans="15:117">
      <c r="O174" s="3">
        <f t="shared" si="59"/>
        <v>27.75</v>
      </c>
      <c r="P174" s="3">
        <f t="shared" si="60"/>
        <v>53</v>
      </c>
      <c r="R174" s="3">
        <v>2</v>
      </c>
      <c r="AP174" s="3">
        <f t="shared" si="61"/>
        <v>27.75</v>
      </c>
      <c r="AQ174" s="3">
        <f t="shared" si="62"/>
        <v>52.75</v>
      </c>
      <c r="AS174" s="3">
        <v>2</v>
      </c>
      <c r="CK174" s="3"/>
      <c r="CL174" s="3"/>
      <c r="CM174" s="3"/>
      <c r="CN174" s="3"/>
      <c r="CS174" s="3"/>
      <c r="CT174" s="3"/>
      <c r="CU174" s="3"/>
      <c r="CV174" s="3">
        <f t="shared" si="64"/>
        <v>27.75</v>
      </c>
      <c r="CW174" s="3">
        <f t="shared" si="65"/>
        <v>49.087499999999999</v>
      </c>
      <c r="CX174" s="3"/>
      <c r="CY174" s="3"/>
      <c r="CZ174" s="3"/>
      <c r="DA174" s="3"/>
      <c r="DB174" s="3"/>
      <c r="DC174" s="3"/>
      <c r="DD174" s="3"/>
      <c r="DE174" s="3"/>
      <c r="DF174" s="3"/>
      <c r="DG174" s="3"/>
      <c r="DH174" s="3"/>
      <c r="DI174" s="3"/>
      <c r="DJ174" s="3"/>
      <c r="DK174" s="3"/>
      <c r="DL174" s="3"/>
      <c r="DM174" s="3"/>
    </row>
    <row r="175" spans="15:117">
      <c r="O175" s="3">
        <f t="shared" si="59"/>
        <v>28</v>
      </c>
      <c r="P175" s="3">
        <f t="shared" si="60"/>
        <v>53.5</v>
      </c>
      <c r="R175" s="3">
        <v>2</v>
      </c>
      <c r="AP175" s="3">
        <f t="shared" si="61"/>
        <v>28</v>
      </c>
      <c r="AQ175" s="3">
        <f t="shared" si="62"/>
        <v>53.25</v>
      </c>
      <c r="AS175" s="3">
        <v>2</v>
      </c>
      <c r="CK175" s="3"/>
      <c r="CL175" s="3"/>
      <c r="CM175" s="3"/>
      <c r="CN175" s="3"/>
      <c r="CS175" s="3"/>
      <c r="CT175" s="3"/>
      <c r="CU175" s="3"/>
      <c r="CV175" s="3">
        <f t="shared" si="64"/>
        <v>28</v>
      </c>
      <c r="CW175" s="3">
        <f t="shared" si="65"/>
        <v>49.087499999999999</v>
      </c>
      <c r="CX175" s="3"/>
      <c r="CY175" s="3"/>
      <c r="CZ175" s="3"/>
      <c r="DA175" s="3"/>
      <c r="DB175" s="3"/>
      <c r="DC175" s="3"/>
      <c r="DD175" s="3"/>
      <c r="DE175" s="3"/>
      <c r="DF175" s="3"/>
      <c r="DG175" s="3"/>
      <c r="DH175" s="3"/>
      <c r="DI175" s="3"/>
      <c r="DJ175" s="3"/>
      <c r="DK175" s="3"/>
      <c r="DL175" s="3"/>
      <c r="DM175" s="3"/>
    </row>
    <row r="176" spans="15:117">
      <c r="O176" s="3">
        <f t="shared" si="59"/>
        <v>28.25</v>
      </c>
      <c r="P176" s="3">
        <f t="shared" si="60"/>
        <v>54</v>
      </c>
      <c r="R176" s="3">
        <v>2</v>
      </c>
      <c r="AP176" s="3">
        <f t="shared" si="61"/>
        <v>28.25</v>
      </c>
      <c r="AQ176" s="3">
        <f t="shared" si="62"/>
        <v>53.75</v>
      </c>
      <c r="AS176" s="3">
        <v>2</v>
      </c>
      <c r="CK176" s="3"/>
      <c r="CL176" s="3"/>
      <c r="CM176" s="3"/>
      <c r="CN176" s="3"/>
      <c r="CS176" s="3"/>
      <c r="CT176" s="3"/>
      <c r="CU176" s="3"/>
      <c r="CV176" s="3">
        <f t="shared" si="64"/>
        <v>28.25</v>
      </c>
      <c r="CW176" s="3">
        <f t="shared" si="65"/>
        <v>49.087499999999999</v>
      </c>
      <c r="CX176" s="3"/>
      <c r="CY176" s="3"/>
      <c r="CZ176" s="3"/>
      <c r="DA176" s="3"/>
      <c r="DB176" s="3"/>
      <c r="DC176" s="3"/>
      <c r="DD176" s="3"/>
      <c r="DE176" s="3"/>
      <c r="DF176" s="3"/>
      <c r="DG176" s="3"/>
      <c r="DH176" s="3"/>
      <c r="DI176" s="3"/>
      <c r="DJ176" s="3"/>
      <c r="DK176" s="3"/>
      <c r="DL176" s="3"/>
      <c r="DM176" s="3"/>
    </row>
    <row r="177" spans="15:117">
      <c r="O177" s="3">
        <f t="shared" si="59"/>
        <v>28.5</v>
      </c>
      <c r="P177" s="3">
        <f t="shared" si="60"/>
        <v>54.5</v>
      </c>
      <c r="R177" s="3">
        <v>2</v>
      </c>
      <c r="AP177" s="3">
        <f t="shared" si="61"/>
        <v>28.5</v>
      </c>
      <c r="AQ177" s="3">
        <f t="shared" si="62"/>
        <v>54.25</v>
      </c>
      <c r="AS177" s="3">
        <v>2</v>
      </c>
      <c r="CK177" s="3"/>
      <c r="CL177" s="3"/>
      <c r="CM177" s="3"/>
      <c r="CN177" s="3"/>
      <c r="CS177" s="3"/>
      <c r="CT177" s="3"/>
      <c r="CU177" s="3"/>
      <c r="CV177" s="3">
        <f t="shared" si="64"/>
        <v>28.5</v>
      </c>
      <c r="CW177" s="3">
        <f t="shared" si="65"/>
        <v>49.087499999999999</v>
      </c>
      <c r="CX177" s="3"/>
      <c r="CY177" s="3"/>
      <c r="CZ177" s="3"/>
      <c r="DA177" s="3"/>
      <c r="DB177" s="3"/>
      <c r="DC177" s="3"/>
      <c r="DD177" s="3"/>
      <c r="DE177" s="3"/>
      <c r="DF177" s="3"/>
      <c r="DG177" s="3"/>
      <c r="DH177" s="3"/>
      <c r="DI177" s="3"/>
      <c r="DJ177" s="3"/>
      <c r="DK177" s="3"/>
      <c r="DL177" s="3"/>
      <c r="DM177" s="3"/>
    </row>
    <row r="178" spans="15:117">
      <c r="O178" s="3">
        <f t="shared" si="59"/>
        <v>28.75</v>
      </c>
      <c r="P178" s="3">
        <f t="shared" si="60"/>
        <v>55</v>
      </c>
      <c r="R178" s="3">
        <v>2</v>
      </c>
      <c r="AP178" s="3">
        <f t="shared" si="61"/>
        <v>28.75</v>
      </c>
      <c r="AQ178" s="3">
        <f t="shared" si="62"/>
        <v>54.75</v>
      </c>
      <c r="AS178" s="3">
        <v>2</v>
      </c>
      <c r="CK178" s="3"/>
      <c r="CL178" s="3"/>
      <c r="CM178" s="3"/>
      <c r="CN178" s="3"/>
      <c r="CS178" s="3"/>
      <c r="CT178" s="3"/>
      <c r="CU178" s="3"/>
      <c r="CV178" s="3">
        <f t="shared" si="64"/>
        <v>28.75</v>
      </c>
      <c r="CW178" s="3">
        <f t="shared" si="65"/>
        <v>49.087499999999999</v>
      </c>
      <c r="CX178" s="3"/>
      <c r="CY178" s="3"/>
      <c r="CZ178" s="3"/>
      <c r="DA178" s="3"/>
      <c r="DB178" s="3"/>
      <c r="DC178" s="3"/>
      <c r="DD178" s="3"/>
      <c r="DE178" s="3"/>
      <c r="DF178" s="3"/>
      <c r="DG178" s="3"/>
      <c r="DH178" s="3"/>
      <c r="DI178" s="3"/>
      <c r="DJ178" s="3"/>
      <c r="DK178" s="3"/>
      <c r="DL178" s="3"/>
      <c r="DM178" s="3"/>
    </row>
    <row r="179" spans="15:117">
      <c r="O179" s="3">
        <f t="shared" si="59"/>
        <v>29</v>
      </c>
      <c r="P179" s="3">
        <f t="shared" si="60"/>
        <v>55.5</v>
      </c>
      <c r="R179" s="3">
        <v>2</v>
      </c>
      <c r="AP179" s="3">
        <f t="shared" si="61"/>
        <v>29</v>
      </c>
      <c r="AQ179" s="3">
        <f t="shared" si="62"/>
        <v>55.25</v>
      </c>
      <c r="AS179" s="3">
        <v>2</v>
      </c>
      <c r="CK179" s="3"/>
      <c r="CL179" s="3"/>
      <c r="CM179" s="3"/>
      <c r="CN179" s="3"/>
      <c r="CS179" s="3"/>
      <c r="CT179" s="3"/>
      <c r="CU179" s="3"/>
      <c r="CV179" s="3">
        <f t="shared" si="64"/>
        <v>29</v>
      </c>
      <c r="CW179" s="3">
        <f t="shared" si="65"/>
        <v>49.087499999999999</v>
      </c>
      <c r="CX179" s="3"/>
      <c r="CY179" s="3"/>
      <c r="CZ179" s="3"/>
      <c r="DA179" s="3"/>
      <c r="DB179" s="3"/>
      <c r="DC179" s="3"/>
      <c r="DD179" s="3"/>
      <c r="DE179" s="3"/>
      <c r="DF179" s="3"/>
      <c r="DG179" s="3"/>
      <c r="DH179" s="3"/>
      <c r="DI179" s="3"/>
      <c r="DJ179" s="3"/>
      <c r="DK179" s="3"/>
      <c r="DL179" s="3"/>
      <c r="DM179" s="3"/>
    </row>
    <row r="180" spans="15:117">
      <c r="O180" s="3">
        <f t="shared" si="59"/>
        <v>29.25</v>
      </c>
      <c r="P180" s="3">
        <f t="shared" si="60"/>
        <v>56</v>
      </c>
      <c r="R180" s="3">
        <v>2</v>
      </c>
      <c r="AP180" s="3">
        <f t="shared" si="61"/>
        <v>29.25</v>
      </c>
      <c r="AQ180" s="3">
        <f t="shared" si="62"/>
        <v>55.75</v>
      </c>
      <c r="AS180" s="3">
        <v>2</v>
      </c>
      <c r="CK180" s="3"/>
      <c r="CL180" s="3"/>
      <c r="CM180" s="3"/>
      <c r="CN180" s="3"/>
      <c r="CS180" s="3"/>
      <c r="CT180" s="3"/>
      <c r="CU180" s="3"/>
      <c r="CV180" s="3">
        <f t="shared" si="64"/>
        <v>29.25</v>
      </c>
      <c r="CW180" s="3">
        <f t="shared" si="65"/>
        <v>49.087499999999999</v>
      </c>
      <c r="CX180" s="3"/>
      <c r="CY180" s="3"/>
      <c r="CZ180" s="3"/>
      <c r="DA180" s="3"/>
      <c r="DB180" s="3"/>
      <c r="DC180" s="3"/>
      <c r="DD180" s="3"/>
      <c r="DE180" s="3"/>
      <c r="DF180" s="3"/>
      <c r="DG180" s="3"/>
      <c r="DH180" s="3"/>
      <c r="DI180" s="3"/>
      <c r="DJ180" s="3"/>
      <c r="DK180" s="3"/>
      <c r="DL180" s="3"/>
      <c r="DM180" s="3"/>
    </row>
    <row r="181" spans="15:117">
      <c r="O181" s="3">
        <f t="shared" si="59"/>
        <v>29.5</v>
      </c>
      <c r="P181" s="3">
        <f t="shared" si="60"/>
        <v>56.5</v>
      </c>
      <c r="R181" s="3">
        <v>2</v>
      </c>
      <c r="AP181" s="3">
        <f t="shared" si="61"/>
        <v>29.5</v>
      </c>
      <c r="AQ181" s="3">
        <f t="shared" si="62"/>
        <v>56.25</v>
      </c>
      <c r="AS181" s="3">
        <v>2</v>
      </c>
      <c r="CK181" s="3"/>
      <c r="CL181" s="3"/>
      <c r="CM181" s="3"/>
      <c r="CN181" s="3"/>
      <c r="CS181" s="3"/>
      <c r="CT181" s="3"/>
      <c r="CU181" s="3"/>
      <c r="CV181" s="3">
        <f t="shared" si="64"/>
        <v>29.5</v>
      </c>
      <c r="CW181" s="3">
        <f t="shared" si="65"/>
        <v>49.087499999999999</v>
      </c>
      <c r="CX181" s="3"/>
      <c r="CY181" s="3"/>
      <c r="CZ181" s="3"/>
      <c r="DA181" s="3"/>
      <c r="DB181" s="3"/>
      <c r="DC181" s="3"/>
      <c r="DD181" s="3"/>
      <c r="DE181" s="3"/>
      <c r="DF181" s="3"/>
      <c r="DG181" s="3"/>
      <c r="DH181" s="3"/>
      <c r="DI181" s="3"/>
      <c r="DJ181" s="3"/>
      <c r="DK181" s="3"/>
      <c r="DL181" s="3"/>
      <c r="DM181" s="3"/>
    </row>
    <row r="182" spans="15:117">
      <c r="O182" s="3">
        <f t="shared" si="59"/>
        <v>29.75</v>
      </c>
      <c r="P182" s="3">
        <f t="shared" si="60"/>
        <v>57</v>
      </c>
      <c r="R182" s="3">
        <v>2</v>
      </c>
      <c r="AP182" s="3">
        <f t="shared" si="61"/>
        <v>29.75</v>
      </c>
      <c r="AQ182" s="3">
        <f t="shared" si="62"/>
        <v>56.75</v>
      </c>
      <c r="AS182" s="3">
        <v>2</v>
      </c>
      <c r="CK182" s="3"/>
      <c r="CL182" s="3"/>
      <c r="CM182" s="3"/>
      <c r="CN182" s="3"/>
      <c r="CS182" s="3"/>
      <c r="CT182" s="3"/>
      <c r="CU182" s="3"/>
      <c r="CV182" s="3">
        <f t="shared" si="64"/>
        <v>29.75</v>
      </c>
      <c r="CW182" s="3">
        <f t="shared" si="65"/>
        <v>49.087499999999999</v>
      </c>
      <c r="CX182" s="3"/>
      <c r="CY182" s="3"/>
      <c r="CZ182" s="3"/>
      <c r="DA182" s="3"/>
      <c r="DB182" s="3"/>
      <c r="DC182" s="3"/>
      <c r="DD182" s="3"/>
      <c r="DE182" s="3"/>
      <c r="DF182" s="3"/>
      <c r="DG182" s="3"/>
      <c r="DH182" s="3"/>
      <c r="DI182" s="3"/>
      <c r="DJ182" s="3"/>
      <c r="DK182" s="3"/>
      <c r="DL182" s="3"/>
      <c r="DM182" s="3"/>
    </row>
    <row r="183" spans="15:117">
      <c r="O183" s="3">
        <f t="shared" si="59"/>
        <v>30</v>
      </c>
      <c r="P183" s="3">
        <f t="shared" si="60"/>
        <v>57.5</v>
      </c>
      <c r="R183" s="3">
        <v>2</v>
      </c>
      <c r="AP183" s="3">
        <f t="shared" si="61"/>
        <v>30</v>
      </c>
      <c r="AQ183" s="3">
        <f t="shared" si="62"/>
        <v>57.25</v>
      </c>
      <c r="AS183" s="3">
        <v>2</v>
      </c>
      <c r="CK183" s="3"/>
      <c r="CL183" s="3"/>
      <c r="CM183" s="3"/>
      <c r="CN183" s="3"/>
      <c r="CS183" s="3"/>
      <c r="CT183" s="3"/>
      <c r="CU183" s="3"/>
      <c r="CV183" s="3">
        <f t="shared" si="64"/>
        <v>30</v>
      </c>
      <c r="CW183" s="3">
        <f t="shared" si="65"/>
        <v>49.087499999999999</v>
      </c>
      <c r="CX183" s="3"/>
      <c r="CY183" s="3"/>
      <c r="CZ183" s="3"/>
      <c r="DA183" s="3"/>
      <c r="DB183" s="3"/>
      <c r="DC183" s="3"/>
      <c r="DD183" s="3"/>
      <c r="DE183" s="3"/>
      <c r="DF183" s="3"/>
      <c r="DG183" s="3"/>
      <c r="DH183" s="3"/>
      <c r="DI183" s="3"/>
      <c r="DJ183" s="3"/>
      <c r="DK183" s="3"/>
      <c r="DL183" s="3"/>
      <c r="DM183" s="3"/>
    </row>
    <row r="184" spans="15:117">
      <c r="O184" s="3">
        <f t="shared" si="59"/>
        <v>30.25</v>
      </c>
      <c r="P184" s="3">
        <f t="shared" si="60"/>
        <v>58</v>
      </c>
      <c r="R184" s="3">
        <v>2</v>
      </c>
      <c r="AP184" s="3">
        <f t="shared" si="61"/>
        <v>30.25</v>
      </c>
      <c r="AQ184" s="3">
        <f t="shared" si="62"/>
        <v>57.75</v>
      </c>
      <c r="AS184" s="3">
        <v>2</v>
      </c>
      <c r="CK184" s="3"/>
      <c r="CL184" s="3"/>
      <c r="CM184" s="3"/>
      <c r="CN184" s="3"/>
      <c r="CS184" s="3"/>
      <c r="CT184" s="3"/>
      <c r="CU184" s="3"/>
      <c r="CV184" s="3">
        <f t="shared" si="64"/>
        <v>30.25</v>
      </c>
      <c r="CW184" s="3">
        <f t="shared" si="65"/>
        <v>49.087499999999999</v>
      </c>
      <c r="CX184" s="3"/>
      <c r="CY184" s="3"/>
      <c r="CZ184" s="3"/>
      <c r="DA184" s="3"/>
      <c r="DB184" s="3"/>
      <c r="DC184" s="3"/>
      <c r="DD184" s="3"/>
      <c r="DE184" s="3"/>
      <c r="DF184" s="3"/>
      <c r="DG184" s="3"/>
      <c r="DH184" s="3"/>
      <c r="DI184" s="3"/>
      <c r="DJ184" s="3"/>
      <c r="DK184" s="3"/>
      <c r="DL184" s="3"/>
      <c r="DM184" s="3"/>
    </row>
    <row r="185" spans="15:117">
      <c r="O185" s="3">
        <f t="shared" si="59"/>
        <v>30.5</v>
      </c>
      <c r="P185" s="3">
        <f t="shared" si="60"/>
        <v>58.5</v>
      </c>
      <c r="R185" s="3">
        <v>2</v>
      </c>
      <c r="AP185" s="3">
        <f t="shared" si="61"/>
        <v>30.5</v>
      </c>
      <c r="AQ185" s="3">
        <f t="shared" si="62"/>
        <v>58.25</v>
      </c>
      <c r="AS185" s="3">
        <v>2</v>
      </c>
      <c r="CK185" s="3"/>
      <c r="CL185" s="3"/>
      <c r="CM185" s="3"/>
      <c r="CN185" s="3"/>
      <c r="CS185" s="3"/>
      <c r="CT185" s="3"/>
      <c r="CU185" s="3"/>
      <c r="CV185" s="3">
        <f t="shared" si="64"/>
        <v>30.5</v>
      </c>
      <c r="CW185" s="3">
        <f t="shared" si="65"/>
        <v>49.087499999999999</v>
      </c>
      <c r="CX185" s="3"/>
      <c r="CY185" s="3"/>
      <c r="CZ185" s="3"/>
      <c r="DA185" s="3"/>
      <c r="DB185" s="3"/>
      <c r="DC185" s="3"/>
      <c r="DD185" s="3"/>
      <c r="DE185" s="3"/>
      <c r="DF185" s="3"/>
      <c r="DG185" s="3"/>
      <c r="DH185" s="3"/>
      <c r="DI185" s="3"/>
      <c r="DJ185" s="3"/>
      <c r="DK185" s="3"/>
      <c r="DL185" s="3"/>
      <c r="DM185" s="3"/>
    </row>
    <row r="186" spans="15:117">
      <c r="O186" s="3">
        <f t="shared" si="59"/>
        <v>30.75</v>
      </c>
      <c r="P186" s="3">
        <f t="shared" si="60"/>
        <v>59</v>
      </c>
      <c r="R186" s="3">
        <v>2</v>
      </c>
      <c r="AP186" s="3">
        <f t="shared" si="61"/>
        <v>30.75</v>
      </c>
      <c r="AQ186" s="3">
        <f t="shared" si="62"/>
        <v>58.75</v>
      </c>
      <c r="AS186" s="3">
        <v>2</v>
      </c>
      <c r="CK186" s="3"/>
      <c r="CL186" s="3"/>
      <c r="CM186" s="3"/>
      <c r="CN186" s="3"/>
      <c r="CS186" s="3"/>
      <c r="CT186" s="3"/>
      <c r="CU186" s="3"/>
      <c r="CV186" s="3">
        <f t="shared" si="64"/>
        <v>30.75</v>
      </c>
      <c r="CW186" s="3">
        <f t="shared" si="65"/>
        <v>49.087499999999999</v>
      </c>
      <c r="CX186" s="3"/>
      <c r="CY186" s="3"/>
      <c r="CZ186" s="3"/>
      <c r="DA186" s="3"/>
      <c r="DB186" s="3"/>
      <c r="DC186" s="3"/>
      <c r="DD186" s="3"/>
      <c r="DE186" s="3"/>
      <c r="DF186" s="3"/>
      <c r="DG186" s="3"/>
      <c r="DH186" s="3"/>
      <c r="DI186" s="3"/>
      <c r="DJ186" s="3"/>
      <c r="DK186" s="3"/>
      <c r="DL186" s="3"/>
      <c r="DM186" s="3"/>
    </row>
    <row r="187" spans="15:117">
      <c r="O187" s="3">
        <f t="shared" si="59"/>
        <v>31</v>
      </c>
      <c r="P187" s="3">
        <f t="shared" si="60"/>
        <v>59.5</v>
      </c>
      <c r="R187" s="3">
        <v>2</v>
      </c>
      <c r="AP187" s="3">
        <f t="shared" si="61"/>
        <v>31</v>
      </c>
      <c r="AQ187" s="3">
        <f t="shared" si="62"/>
        <v>59.25</v>
      </c>
      <c r="AS187" s="3">
        <v>2</v>
      </c>
      <c r="CK187" s="3"/>
      <c r="CL187" s="3"/>
      <c r="CM187" s="3"/>
      <c r="CN187" s="3"/>
      <c r="CS187" s="3"/>
      <c r="CT187" s="3"/>
      <c r="CU187" s="3"/>
      <c r="CV187" s="3">
        <f t="shared" si="64"/>
        <v>31</v>
      </c>
      <c r="CW187" s="3">
        <f t="shared" si="65"/>
        <v>49.087499999999999</v>
      </c>
      <c r="CX187" s="3"/>
      <c r="CY187" s="3"/>
      <c r="CZ187" s="3"/>
      <c r="DA187" s="3"/>
      <c r="DB187" s="3"/>
      <c r="DC187" s="3"/>
      <c r="DD187" s="3"/>
      <c r="DE187" s="3"/>
      <c r="DF187" s="3"/>
      <c r="DG187" s="3"/>
      <c r="DH187" s="3"/>
      <c r="DI187" s="3"/>
      <c r="DJ187" s="3"/>
      <c r="DK187" s="3"/>
      <c r="DL187" s="3"/>
      <c r="DM187" s="3"/>
    </row>
    <row r="188" spans="15:117">
      <c r="O188" s="3">
        <f t="shared" si="59"/>
        <v>31.25</v>
      </c>
      <c r="P188" s="3">
        <f t="shared" si="60"/>
        <v>60</v>
      </c>
      <c r="R188" s="3">
        <v>2</v>
      </c>
      <c r="AP188" s="3">
        <f t="shared" si="61"/>
        <v>31.25</v>
      </c>
      <c r="AQ188" s="3">
        <f t="shared" si="62"/>
        <v>59.75</v>
      </c>
      <c r="AS188" s="3">
        <v>2</v>
      </c>
      <c r="CK188" s="3"/>
      <c r="CL188" s="3"/>
      <c r="CM188" s="3"/>
      <c r="CN188" s="3"/>
      <c r="CS188" s="3"/>
      <c r="CT188" s="3"/>
      <c r="CU188" s="3"/>
      <c r="CV188" s="3">
        <f t="shared" si="64"/>
        <v>31.25</v>
      </c>
      <c r="CW188" s="3">
        <f t="shared" si="65"/>
        <v>49.087499999999999</v>
      </c>
      <c r="CX188" s="3"/>
      <c r="CY188" s="3"/>
      <c r="CZ188" s="3"/>
      <c r="DA188" s="3"/>
      <c r="DB188" s="3"/>
      <c r="DC188" s="3"/>
      <c r="DD188" s="3"/>
      <c r="DE188" s="3"/>
      <c r="DF188" s="3"/>
      <c r="DG188" s="3"/>
      <c r="DH188" s="3"/>
      <c r="DI188" s="3"/>
      <c r="DJ188" s="3"/>
      <c r="DK188" s="3"/>
      <c r="DL188" s="3"/>
      <c r="DM188" s="3"/>
    </row>
    <row r="189" spans="15:117">
      <c r="O189" s="3">
        <f t="shared" si="59"/>
        <v>31.5</v>
      </c>
      <c r="P189" s="3">
        <f t="shared" si="60"/>
        <v>60.5</v>
      </c>
      <c r="R189" s="3">
        <v>2</v>
      </c>
      <c r="AP189" s="3">
        <f t="shared" si="61"/>
        <v>31.5</v>
      </c>
      <c r="AQ189" s="3">
        <f t="shared" si="62"/>
        <v>60.25</v>
      </c>
      <c r="AS189" s="3">
        <v>2</v>
      </c>
      <c r="CK189" s="3"/>
      <c r="CL189" s="3"/>
      <c r="CM189" s="3"/>
      <c r="CN189" s="3"/>
      <c r="CS189" s="3"/>
      <c r="CT189" s="3"/>
      <c r="CU189" s="3"/>
      <c r="CV189" s="3">
        <f t="shared" si="64"/>
        <v>31.5</v>
      </c>
      <c r="CW189" s="3">
        <f t="shared" si="65"/>
        <v>49.087499999999999</v>
      </c>
      <c r="CX189" s="3"/>
      <c r="CY189" s="3"/>
      <c r="CZ189" s="3"/>
      <c r="DA189" s="3"/>
      <c r="DB189" s="3"/>
      <c r="DC189" s="3"/>
      <c r="DD189" s="3"/>
      <c r="DE189" s="3"/>
      <c r="DF189" s="3"/>
      <c r="DG189" s="3"/>
      <c r="DH189" s="3"/>
      <c r="DI189" s="3"/>
      <c r="DJ189" s="3"/>
      <c r="DK189" s="3"/>
      <c r="DL189" s="3"/>
      <c r="DM189" s="3"/>
    </row>
    <row r="190" spans="15:117">
      <c r="O190" s="3">
        <f t="shared" si="59"/>
        <v>31.75</v>
      </c>
      <c r="P190" s="3">
        <f t="shared" si="60"/>
        <v>61</v>
      </c>
      <c r="R190" s="3">
        <v>2</v>
      </c>
      <c r="AP190" s="3">
        <f t="shared" si="61"/>
        <v>31.75</v>
      </c>
      <c r="AQ190" s="3">
        <f t="shared" si="62"/>
        <v>60.75</v>
      </c>
      <c r="AS190" s="3">
        <v>2</v>
      </c>
      <c r="CK190" s="3"/>
      <c r="CL190" s="3"/>
      <c r="CM190" s="3"/>
      <c r="CN190" s="3"/>
      <c r="CS190" s="3"/>
      <c r="CT190" s="3"/>
      <c r="CU190" s="3"/>
      <c r="CV190" s="3">
        <f t="shared" si="64"/>
        <v>31.75</v>
      </c>
      <c r="CW190" s="3">
        <f t="shared" si="65"/>
        <v>49.087499999999999</v>
      </c>
      <c r="CX190" s="3"/>
      <c r="CY190" s="3"/>
      <c r="CZ190" s="3"/>
      <c r="DA190" s="3"/>
      <c r="DB190" s="3"/>
      <c r="DC190" s="3"/>
      <c r="DD190" s="3"/>
      <c r="DE190" s="3"/>
      <c r="DF190" s="3"/>
      <c r="DG190" s="3"/>
      <c r="DH190" s="3"/>
      <c r="DI190" s="3"/>
      <c r="DJ190" s="3"/>
      <c r="DK190" s="3"/>
      <c r="DL190" s="3"/>
      <c r="DM190" s="3"/>
    </row>
    <row r="191" spans="15:117">
      <c r="O191" s="3">
        <f t="shared" si="59"/>
        <v>32</v>
      </c>
      <c r="P191" s="3">
        <f t="shared" si="60"/>
        <v>61.5</v>
      </c>
      <c r="R191" s="3">
        <v>2</v>
      </c>
      <c r="AP191" s="3">
        <f t="shared" si="61"/>
        <v>32</v>
      </c>
      <c r="AQ191" s="3">
        <f t="shared" si="62"/>
        <v>61.25</v>
      </c>
      <c r="AS191" s="3">
        <v>2</v>
      </c>
      <c r="CK191" s="3"/>
      <c r="CL191" s="3"/>
      <c r="CM191" s="3"/>
      <c r="CN191" s="3"/>
      <c r="CS191" s="3"/>
      <c r="CT191" s="3"/>
      <c r="CU191" s="3"/>
      <c r="CV191" s="3">
        <f t="shared" si="64"/>
        <v>32</v>
      </c>
      <c r="CW191" s="3">
        <f t="shared" si="65"/>
        <v>49.087499999999999</v>
      </c>
      <c r="CX191" s="3"/>
      <c r="CY191" s="3"/>
      <c r="CZ191" s="3"/>
      <c r="DA191" s="3"/>
      <c r="DB191" s="3"/>
      <c r="DC191" s="3"/>
      <c r="DD191" s="3"/>
      <c r="DE191" s="3"/>
      <c r="DF191" s="3"/>
      <c r="DG191" s="3"/>
      <c r="DH191" s="3"/>
      <c r="DI191" s="3"/>
      <c r="DJ191" s="3"/>
      <c r="DK191" s="3"/>
      <c r="DL191" s="3"/>
      <c r="DM191" s="3"/>
    </row>
    <row r="192" spans="15:117">
      <c r="O192" s="3">
        <f t="shared" si="59"/>
        <v>32.25</v>
      </c>
      <c r="P192" s="3">
        <f t="shared" si="60"/>
        <v>62</v>
      </c>
      <c r="R192" s="3">
        <v>2</v>
      </c>
      <c r="AP192" s="3">
        <f t="shared" si="61"/>
        <v>32.25</v>
      </c>
      <c r="AQ192" s="3">
        <f t="shared" si="62"/>
        <v>61.75</v>
      </c>
      <c r="AS192" s="3">
        <v>2</v>
      </c>
      <c r="CK192" s="3"/>
      <c r="CL192" s="3"/>
      <c r="CM192" s="3"/>
      <c r="CN192" s="3"/>
      <c r="CS192" s="3"/>
      <c r="CT192" s="3"/>
      <c r="CU192" s="3"/>
      <c r="CV192" s="3">
        <f t="shared" si="64"/>
        <v>32.25</v>
      </c>
      <c r="CW192" s="3">
        <f t="shared" si="65"/>
        <v>49.087499999999999</v>
      </c>
      <c r="CX192" s="3"/>
      <c r="CY192" s="3"/>
      <c r="CZ192" s="3"/>
      <c r="DA192" s="3"/>
      <c r="DB192" s="3"/>
      <c r="DC192" s="3"/>
      <c r="DD192" s="3"/>
      <c r="DE192" s="3"/>
      <c r="DF192" s="3"/>
      <c r="DG192" s="3"/>
      <c r="DH192" s="3"/>
      <c r="DI192" s="3"/>
      <c r="DJ192" s="3"/>
      <c r="DK192" s="3"/>
      <c r="DL192" s="3"/>
      <c r="DM192" s="3"/>
    </row>
    <row r="193" spans="15:117">
      <c r="O193" s="3">
        <f t="shared" ref="O193:O194" si="73">O192+0.25</f>
        <v>32.5</v>
      </c>
      <c r="P193" s="3">
        <f t="shared" ref="P193:P194" si="74">P192+(O193-O192)*R193</f>
        <v>62.5</v>
      </c>
      <c r="R193" s="3">
        <v>2</v>
      </c>
      <c r="AP193" s="3">
        <f t="shared" ref="AP193:AP194" si="75">AP192+0.25</f>
        <v>32.5</v>
      </c>
      <c r="AQ193" s="3">
        <f t="shared" ref="AQ193:AQ194" si="76">AQ192+(AP193-AP192)*AS193</f>
        <v>62.25</v>
      </c>
      <c r="AS193" s="3">
        <v>2</v>
      </c>
      <c r="CK193" s="3"/>
      <c r="CL193" s="3"/>
      <c r="CM193" s="3"/>
      <c r="CN193" s="3"/>
      <c r="CS193" s="3"/>
      <c r="CT193" s="3"/>
      <c r="CU193" s="3"/>
      <c r="CV193" s="3">
        <f t="shared" ref="CV193:CV194" si="77">CV192+0.25</f>
        <v>32.5</v>
      </c>
      <c r="CW193" s="3">
        <f t="shared" ref="CW193:CW194" si="78">CW192+(CV193-CV192)*CY193</f>
        <v>49.087499999999999</v>
      </c>
      <c r="CX193" s="3"/>
      <c r="CY193" s="3"/>
      <c r="CZ193" s="3"/>
      <c r="DA193" s="3"/>
      <c r="DB193" s="3"/>
      <c r="DC193" s="3"/>
      <c r="DD193" s="3"/>
      <c r="DE193" s="3"/>
      <c r="DF193" s="3"/>
      <c r="DG193" s="3"/>
      <c r="DH193" s="3"/>
      <c r="DI193" s="3"/>
      <c r="DJ193" s="3"/>
      <c r="DK193" s="3"/>
      <c r="DL193" s="3"/>
      <c r="DM193" s="3"/>
    </row>
    <row r="194" spans="15:117">
      <c r="O194" s="3">
        <f t="shared" si="73"/>
        <v>32.75</v>
      </c>
      <c r="P194" s="3">
        <f t="shared" si="74"/>
        <v>63</v>
      </c>
      <c r="R194" s="3">
        <v>2</v>
      </c>
      <c r="AP194" s="3">
        <f t="shared" si="75"/>
        <v>32.75</v>
      </c>
      <c r="AQ194" s="3">
        <f t="shared" si="76"/>
        <v>62.75</v>
      </c>
      <c r="AS194" s="3">
        <v>2</v>
      </c>
      <c r="CK194" s="3"/>
      <c r="CL194" s="3"/>
      <c r="CM194" s="3"/>
      <c r="CN194" s="3"/>
      <c r="CS194" s="3"/>
      <c r="CT194" s="3"/>
      <c r="CU194" s="3"/>
      <c r="CV194" s="3">
        <f t="shared" si="77"/>
        <v>32.75</v>
      </c>
      <c r="CW194" s="3">
        <f t="shared" si="78"/>
        <v>49.087499999999999</v>
      </c>
      <c r="CX194" s="3"/>
      <c r="CY194" s="3"/>
      <c r="CZ194" s="3"/>
      <c r="DA194" s="3"/>
      <c r="DB194" s="3"/>
      <c r="DC194" s="3"/>
      <c r="DD194" s="3"/>
      <c r="DE194" s="3"/>
      <c r="DF194" s="3"/>
      <c r="DG194" s="3"/>
      <c r="DH194" s="3"/>
      <c r="DI194" s="3"/>
      <c r="DJ194" s="3"/>
      <c r="DK194" s="3"/>
      <c r="DL194" s="3"/>
      <c r="DM194" s="3"/>
    </row>
  </sheetData>
  <sheetProtection selectLockedCells="1"/>
  <mergeCells count="203">
    <mergeCell ref="L15:U15"/>
    <mergeCell ref="L16:U16"/>
    <mergeCell ref="L17:U17"/>
    <mergeCell ref="L18:U18"/>
    <mergeCell ref="L19:U19"/>
    <mergeCell ref="L20:U20"/>
    <mergeCell ref="L21:U21"/>
    <mergeCell ref="B22:U22"/>
    <mergeCell ref="L6:U6"/>
    <mergeCell ref="L7:U7"/>
    <mergeCell ref="L8:U8"/>
    <mergeCell ref="L9:U9"/>
    <mergeCell ref="L10:U10"/>
    <mergeCell ref="L11:U11"/>
    <mergeCell ref="L12:U12"/>
    <mergeCell ref="L13:U13"/>
    <mergeCell ref="L14:U14"/>
    <mergeCell ref="B21:J21"/>
    <mergeCell ref="B6:J6"/>
    <mergeCell ref="B7:J7"/>
    <mergeCell ref="B8:J8"/>
    <mergeCell ref="B12:J12"/>
    <mergeCell ref="B13:J13"/>
    <mergeCell ref="B19:J19"/>
    <mergeCell ref="BE57:BL57"/>
    <mergeCell ref="BM57:BT57"/>
    <mergeCell ref="BU57:CB57"/>
    <mergeCell ref="CC57:CJ57"/>
    <mergeCell ref="BE59:BL59"/>
    <mergeCell ref="BM59:BT59"/>
    <mergeCell ref="BU59:CB59"/>
    <mergeCell ref="CC59:CJ59"/>
    <mergeCell ref="BE51:BL51"/>
    <mergeCell ref="BM51:BT51"/>
    <mergeCell ref="BU51:CB51"/>
    <mergeCell ref="CC51:CJ51"/>
    <mergeCell ref="BE53:BL53"/>
    <mergeCell ref="BM53:BT53"/>
    <mergeCell ref="BU53:CB53"/>
    <mergeCell ref="CC53:CJ53"/>
    <mergeCell ref="BE55:BL55"/>
    <mergeCell ref="BM55:BT55"/>
    <mergeCell ref="BU55:CB55"/>
    <mergeCell ref="CC55:CJ55"/>
    <mergeCell ref="BE45:BL45"/>
    <mergeCell ref="BM45:BT45"/>
    <mergeCell ref="BU45:CB45"/>
    <mergeCell ref="CC45:CJ45"/>
    <mergeCell ref="BE47:BL47"/>
    <mergeCell ref="BM47:BT47"/>
    <mergeCell ref="BU47:CB47"/>
    <mergeCell ref="CC47:CJ47"/>
    <mergeCell ref="BE49:BL49"/>
    <mergeCell ref="BM49:BT49"/>
    <mergeCell ref="BU49:CB49"/>
    <mergeCell ref="CC49:CJ49"/>
    <mergeCell ref="BE39:BL39"/>
    <mergeCell ref="BM39:BT39"/>
    <mergeCell ref="BU39:CB39"/>
    <mergeCell ref="CC39:CJ39"/>
    <mergeCell ref="BE41:BL41"/>
    <mergeCell ref="BM41:BT41"/>
    <mergeCell ref="BU41:CB41"/>
    <mergeCell ref="CC41:CJ41"/>
    <mergeCell ref="BE43:BL43"/>
    <mergeCell ref="BM43:BT43"/>
    <mergeCell ref="BU43:CB43"/>
    <mergeCell ref="CC43:CJ43"/>
    <mergeCell ref="BE33:BL33"/>
    <mergeCell ref="BM33:BT33"/>
    <mergeCell ref="BU33:CB33"/>
    <mergeCell ref="CC33:CJ33"/>
    <mergeCell ref="BE35:BL35"/>
    <mergeCell ref="BM35:BT35"/>
    <mergeCell ref="BU35:CB35"/>
    <mergeCell ref="CC35:CJ35"/>
    <mergeCell ref="BE37:BL37"/>
    <mergeCell ref="BM37:BT37"/>
    <mergeCell ref="BU37:CB37"/>
    <mergeCell ref="CC37:CJ37"/>
    <mergeCell ref="BE24:BT24"/>
    <mergeCell ref="BU24:CJ24"/>
    <mergeCell ref="BE29:BL29"/>
    <mergeCell ref="BM29:BT29"/>
    <mergeCell ref="BU29:CB29"/>
    <mergeCell ref="CC29:CJ29"/>
    <mergeCell ref="BE31:BL31"/>
    <mergeCell ref="BM31:BT31"/>
    <mergeCell ref="BU31:CB31"/>
    <mergeCell ref="CC31:CJ31"/>
    <mergeCell ref="A58:A59"/>
    <mergeCell ref="M59:T59"/>
    <mergeCell ref="Y59:AF59"/>
    <mergeCell ref="AG59:AN59"/>
    <mergeCell ref="AO59:AV59"/>
    <mergeCell ref="AW59:BD59"/>
    <mergeCell ref="A56:A57"/>
    <mergeCell ref="M57:T57"/>
    <mergeCell ref="Y57:AF57"/>
    <mergeCell ref="AG57:AN57"/>
    <mergeCell ref="AO57:AV57"/>
    <mergeCell ref="AW57:BD57"/>
    <mergeCell ref="A54:A55"/>
    <mergeCell ref="M55:T55"/>
    <mergeCell ref="Y55:AF55"/>
    <mergeCell ref="AG55:AN55"/>
    <mergeCell ref="AO55:AV55"/>
    <mergeCell ref="AW55:BD55"/>
    <mergeCell ref="A52:A53"/>
    <mergeCell ref="M53:T53"/>
    <mergeCell ref="Y53:AF53"/>
    <mergeCell ref="AG53:AN53"/>
    <mergeCell ref="AO53:AV53"/>
    <mergeCell ref="AW53:BD53"/>
    <mergeCell ref="A50:A51"/>
    <mergeCell ref="M51:T51"/>
    <mergeCell ref="Y51:AF51"/>
    <mergeCell ref="AG51:AN51"/>
    <mergeCell ref="AO51:AV51"/>
    <mergeCell ref="AW51:BD51"/>
    <mergeCell ref="A48:A49"/>
    <mergeCell ref="M49:T49"/>
    <mergeCell ref="Y49:AF49"/>
    <mergeCell ref="AG49:AN49"/>
    <mergeCell ref="AO49:AV49"/>
    <mergeCell ref="AW49:BD49"/>
    <mergeCell ref="A46:A47"/>
    <mergeCell ref="M47:T47"/>
    <mergeCell ref="Y47:AF47"/>
    <mergeCell ref="AG47:AN47"/>
    <mergeCell ref="AO47:AV47"/>
    <mergeCell ref="AW47:BD47"/>
    <mergeCell ref="A44:A45"/>
    <mergeCell ref="M45:T45"/>
    <mergeCell ref="Y45:AF45"/>
    <mergeCell ref="AG45:AN45"/>
    <mergeCell ref="AO45:AV45"/>
    <mergeCell ref="AW45:BD45"/>
    <mergeCell ref="A42:A43"/>
    <mergeCell ref="M43:T43"/>
    <mergeCell ref="Y43:AF43"/>
    <mergeCell ref="AG43:AN43"/>
    <mergeCell ref="AO43:AV43"/>
    <mergeCell ref="AW43:BD43"/>
    <mergeCell ref="A40:A41"/>
    <mergeCell ref="M41:T41"/>
    <mergeCell ref="Y41:AF41"/>
    <mergeCell ref="AG41:AN41"/>
    <mergeCell ref="AO41:AV41"/>
    <mergeCell ref="AW41:BD41"/>
    <mergeCell ref="A38:A39"/>
    <mergeCell ref="M39:T39"/>
    <mergeCell ref="Y39:AF39"/>
    <mergeCell ref="AG39:AN39"/>
    <mergeCell ref="AO39:AV39"/>
    <mergeCell ref="AW39:BD39"/>
    <mergeCell ref="A36:A37"/>
    <mergeCell ref="M37:T37"/>
    <mergeCell ref="Y37:AF37"/>
    <mergeCell ref="AG37:AN37"/>
    <mergeCell ref="AO37:AV37"/>
    <mergeCell ref="AW37:BD37"/>
    <mergeCell ref="A34:A35"/>
    <mergeCell ref="M35:T35"/>
    <mergeCell ref="Y35:AF35"/>
    <mergeCell ref="AG35:AN35"/>
    <mergeCell ref="AO35:AV35"/>
    <mergeCell ref="AW35:BD35"/>
    <mergeCell ref="A32:A33"/>
    <mergeCell ref="M33:T33"/>
    <mergeCell ref="Y33:AF33"/>
    <mergeCell ref="AG33:AN33"/>
    <mergeCell ref="AO33:AV33"/>
    <mergeCell ref="AW33:BD33"/>
    <mergeCell ref="A30:A31"/>
    <mergeCell ref="M31:T31"/>
    <mergeCell ref="Y31:AF31"/>
    <mergeCell ref="AG31:AN31"/>
    <mergeCell ref="AO31:AV31"/>
    <mergeCell ref="AW31:BD31"/>
    <mergeCell ref="AO24:BD24"/>
    <mergeCell ref="A28:A29"/>
    <mergeCell ref="M29:T29"/>
    <mergeCell ref="Y29:AF29"/>
    <mergeCell ref="AG29:AN29"/>
    <mergeCell ref="AO29:AV29"/>
    <mergeCell ref="AW29:BD29"/>
    <mergeCell ref="B24:E24"/>
    <mergeCell ref="F24:H24"/>
    <mergeCell ref="I24:J24"/>
    <mergeCell ref="K24:L24"/>
    <mergeCell ref="M24:T24"/>
    <mergeCell ref="W24:X24"/>
    <mergeCell ref="Y24:AN24"/>
    <mergeCell ref="B20:J20"/>
    <mergeCell ref="B15:J15"/>
    <mergeCell ref="B16:J16"/>
    <mergeCell ref="B17:J17"/>
    <mergeCell ref="B14:J14"/>
    <mergeCell ref="B9:J9"/>
    <mergeCell ref="B10:J10"/>
    <mergeCell ref="B11:J11"/>
    <mergeCell ref="B18:J18"/>
  </mergeCells>
  <pageMargins left="0.7" right="0.7" top="0.75" bottom="0.75" header="0.3" footer="0.3"/>
  <pageSetup orientation="portrait" horizontalDpi="200" verticalDpi="200" copies="0" r:id="rId1"/>
  <drawing r:id="rId2"/>
  <legacyDrawing r:id="rId3"/>
  <oleObjects>
    <mc:AlternateContent xmlns:mc="http://schemas.openxmlformats.org/markup-compatibility/2006">
      <mc:Choice Requires="x14">
        <oleObject progId="Visio.Drawing.15" shapeId="14337" r:id="rId4">
          <objectPr defaultSize="0" r:id="rId5">
            <anchor moveWithCells="1">
              <from>
                <xdr:col>0</xdr:col>
                <xdr:colOff>19050</xdr:colOff>
                <xdr:row>61</xdr:row>
                <xdr:rowOff>28575</xdr:rowOff>
              </from>
              <to>
                <xdr:col>10</xdr:col>
                <xdr:colOff>123825</xdr:colOff>
                <xdr:row>113</xdr:row>
                <xdr:rowOff>85725</xdr:rowOff>
              </to>
            </anchor>
          </objectPr>
        </oleObject>
      </mc:Choice>
      <mc:Fallback>
        <oleObject progId="Visio.Drawing.15" shapeId="14337" r:id="rId4"/>
      </mc:Fallback>
    </mc:AlternateContent>
  </oleObjec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7D2B0-D57C-4130-832B-983F8A842AEF}">
  <sheetPr codeName="Sheet11"/>
  <dimension ref="A1:CJ62"/>
  <sheetViews>
    <sheetView showGridLines="0" zoomScale="70" zoomScaleNormal="70" workbookViewId="0">
      <selection activeCell="B22" sqref="B22:U22"/>
    </sheetView>
  </sheetViews>
  <sheetFormatPr defaultRowHeight="15"/>
  <cols>
    <col min="1" max="1" width="12.28515625" customWidth="1"/>
    <col min="2" max="88" width="6" style="3" customWidth="1"/>
    <col min="89" max="89" width="9" customWidth="1"/>
  </cols>
  <sheetData>
    <row r="1" spans="1:22">
      <c r="A1" t="s">
        <v>26</v>
      </c>
      <c r="B1" s="5" t="s">
        <v>219</v>
      </c>
    </row>
    <row r="3" spans="1:22">
      <c r="A3" t="s">
        <v>121</v>
      </c>
    </row>
    <row r="4" spans="1:22">
      <c r="A4" t="s">
        <v>72</v>
      </c>
    </row>
    <row r="6" spans="1:22" ht="28.5" customHeight="1">
      <c r="A6" s="33" t="s">
        <v>113</v>
      </c>
      <c r="B6" s="117" t="s">
        <v>163</v>
      </c>
      <c r="C6" s="133"/>
      <c r="D6" s="133"/>
      <c r="E6" s="133"/>
      <c r="F6" s="133"/>
      <c r="G6" s="133"/>
      <c r="H6" s="133"/>
      <c r="I6" s="133"/>
      <c r="J6" s="134"/>
      <c r="K6" s="35" t="s">
        <v>73</v>
      </c>
      <c r="L6" s="137" t="e">
        <f ca="1">IF(B6&lt;&gt;"",CONCATENATE(INDIRECT("B"&amp;V6),INDIRECT("C"&amp;V6),INDIRECT("D"&amp;V6),INDIRECT("E"&amp;V6),INDIRECT("F"&amp;V6),INDIRECT("G"&amp;V6),INDIRECT("H"&amp;V6),INDIRECT("I"&amp;V6),INDIRECT("J"&amp;V6),INDIRECT("K"&amp;V6),INDIRECT("L"&amp;V6),INDIRECT("M"&amp;V6),INDIRECT("U"&amp;V6),INDIRECT("V"&amp;V6),INDIRECT("W"&amp;V6),INDIRECT("X"&amp;V6),INDIRECT("Y"&amp;V6),INDIRECT("AG"&amp;V6),INDIRECT("AO"&amp;V6),INDIRECT("AW"&amp;V6),,INDIRECT("BE"&amp;V6),INDIRECT("BM"&amp;V6),INDIRECT("BU"&amp;V6),INDIRECT("CC"&amp;V6)),"")</f>
        <v>#NUM!</v>
      </c>
      <c r="M6" s="131"/>
      <c r="N6" s="131"/>
      <c r="O6" s="131"/>
      <c r="P6" s="131"/>
      <c r="Q6" s="131"/>
      <c r="R6" s="131"/>
      <c r="S6" s="131"/>
      <c r="T6" s="131"/>
      <c r="U6" s="132"/>
      <c r="V6" s="41">
        <v>29</v>
      </c>
    </row>
    <row r="7" spans="1:22" ht="28.5" customHeight="1">
      <c r="A7" s="33" t="s">
        <v>11</v>
      </c>
      <c r="B7" s="117"/>
      <c r="C7" s="133"/>
      <c r="D7" s="133"/>
      <c r="E7" s="133"/>
      <c r="F7" s="133"/>
      <c r="G7" s="133"/>
      <c r="H7" s="133"/>
      <c r="I7" s="133"/>
      <c r="J7" s="134"/>
      <c r="K7" s="35" t="s">
        <v>73</v>
      </c>
      <c r="L7" s="137" t="str">
        <f t="shared" ref="L7:L21" ca="1" si="0">IF(B7&lt;&gt;"",CONCATENATE(INDIRECT("B"&amp;V7),INDIRECT("C"&amp;V7),INDIRECT("D"&amp;V7),INDIRECT("E"&amp;V7),INDIRECT("F"&amp;V7),INDIRECT("G"&amp;V7),INDIRECT("H"&amp;V7),INDIRECT("I"&amp;V7),INDIRECT("J"&amp;V7),INDIRECT("K"&amp;V7),INDIRECT("L"&amp;V7),INDIRECT("M"&amp;V7),INDIRECT("U"&amp;V7),INDIRECT("V"&amp;V7),INDIRECT("W"&amp;V7),INDIRECT("X"&amp;V7),INDIRECT("Y"&amp;V7),INDIRECT("AG"&amp;V7),INDIRECT("AO"&amp;V7),INDIRECT("AW"&amp;V7),,INDIRECT("BE"&amp;V7),INDIRECT("BM"&amp;V7),INDIRECT("BU"&amp;V7),INDIRECT("CC"&amp;V7)),"")</f>
        <v/>
      </c>
      <c r="M7" s="131"/>
      <c r="N7" s="131"/>
      <c r="O7" s="131"/>
      <c r="P7" s="131"/>
      <c r="Q7" s="131"/>
      <c r="R7" s="131"/>
      <c r="S7" s="131"/>
      <c r="T7" s="131"/>
      <c r="U7" s="132"/>
      <c r="V7" s="41">
        <f>V6+2</f>
        <v>31</v>
      </c>
    </row>
    <row r="8" spans="1:22" ht="28.5" customHeight="1">
      <c r="A8" s="33" t="s">
        <v>12</v>
      </c>
      <c r="B8" s="117"/>
      <c r="C8" s="133"/>
      <c r="D8" s="133"/>
      <c r="E8" s="133"/>
      <c r="F8" s="133"/>
      <c r="G8" s="133"/>
      <c r="H8" s="133"/>
      <c r="I8" s="133"/>
      <c r="J8" s="134"/>
      <c r="K8" s="35" t="s">
        <v>73</v>
      </c>
      <c r="L8" s="137" t="str">
        <f t="shared" ca="1" si="0"/>
        <v/>
      </c>
      <c r="M8" s="131"/>
      <c r="N8" s="131"/>
      <c r="O8" s="131"/>
      <c r="P8" s="131"/>
      <c r="Q8" s="131"/>
      <c r="R8" s="131"/>
      <c r="S8" s="131"/>
      <c r="T8" s="131"/>
      <c r="U8" s="132"/>
      <c r="V8" s="41">
        <f t="shared" ref="V8:V21" si="1">V7+2</f>
        <v>33</v>
      </c>
    </row>
    <row r="9" spans="1:22" ht="28.5" customHeight="1">
      <c r="A9" s="33" t="s">
        <v>13</v>
      </c>
      <c r="B9" s="117"/>
      <c r="C9" s="118"/>
      <c r="D9" s="118"/>
      <c r="E9" s="118"/>
      <c r="F9" s="118"/>
      <c r="G9" s="118"/>
      <c r="H9" s="118"/>
      <c r="I9" s="118"/>
      <c r="J9" s="119"/>
      <c r="K9" s="35" t="s">
        <v>73</v>
      </c>
      <c r="L9" s="137" t="str">
        <f t="shared" ca="1" si="0"/>
        <v/>
      </c>
      <c r="M9" s="131"/>
      <c r="N9" s="131"/>
      <c r="O9" s="131"/>
      <c r="P9" s="131"/>
      <c r="Q9" s="131"/>
      <c r="R9" s="131"/>
      <c r="S9" s="131"/>
      <c r="T9" s="131"/>
      <c r="U9" s="132"/>
      <c r="V9" s="41">
        <f t="shared" si="1"/>
        <v>35</v>
      </c>
    </row>
    <row r="10" spans="1:22" ht="28.5" customHeight="1">
      <c r="A10" s="33" t="s">
        <v>14</v>
      </c>
      <c r="B10" s="117"/>
      <c r="C10" s="118"/>
      <c r="D10" s="118"/>
      <c r="E10" s="118"/>
      <c r="F10" s="118"/>
      <c r="G10" s="118"/>
      <c r="H10" s="118"/>
      <c r="I10" s="118"/>
      <c r="J10" s="119"/>
      <c r="K10" s="35" t="s">
        <v>73</v>
      </c>
      <c r="L10" s="137" t="str">
        <f t="shared" ca="1" si="0"/>
        <v/>
      </c>
      <c r="M10" s="131"/>
      <c r="N10" s="131"/>
      <c r="O10" s="131"/>
      <c r="P10" s="131"/>
      <c r="Q10" s="131"/>
      <c r="R10" s="131"/>
      <c r="S10" s="131"/>
      <c r="T10" s="131"/>
      <c r="U10" s="132"/>
      <c r="V10" s="41">
        <f t="shared" si="1"/>
        <v>37</v>
      </c>
    </row>
    <row r="11" spans="1:22" ht="28.5" customHeight="1">
      <c r="A11" s="33" t="s">
        <v>15</v>
      </c>
      <c r="B11" s="117"/>
      <c r="C11" s="118"/>
      <c r="D11" s="118"/>
      <c r="E11" s="118"/>
      <c r="F11" s="118"/>
      <c r="G11" s="118"/>
      <c r="H11" s="118"/>
      <c r="I11" s="118"/>
      <c r="J11" s="119"/>
      <c r="K11" s="35" t="s">
        <v>73</v>
      </c>
      <c r="L11" s="137" t="str">
        <f t="shared" ca="1" si="0"/>
        <v/>
      </c>
      <c r="M11" s="131"/>
      <c r="N11" s="131"/>
      <c r="O11" s="131"/>
      <c r="P11" s="131"/>
      <c r="Q11" s="131"/>
      <c r="R11" s="131"/>
      <c r="S11" s="131"/>
      <c r="T11" s="131"/>
      <c r="U11" s="132"/>
      <c r="V11" s="41">
        <f t="shared" si="1"/>
        <v>39</v>
      </c>
    </row>
    <row r="12" spans="1:22" ht="28.5" customHeight="1">
      <c r="A12" s="33" t="s">
        <v>16</v>
      </c>
      <c r="B12" s="117"/>
      <c r="C12" s="118"/>
      <c r="D12" s="118"/>
      <c r="E12" s="118"/>
      <c r="F12" s="118"/>
      <c r="G12" s="118"/>
      <c r="H12" s="118"/>
      <c r="I12" s="118"/>
      <c r="J12" s="119"/>
      <c r="K12" s="35" t="s">
        <v>73</v>
      </c>
      <c r="L12" s="137" t="str">
        <f t="shared" ca="1" si="0"/>
        <v/>
      </c>
      <c r="M12" s="131"/>
      <c r="N12" s="131"/>
      <c r="O12" s="131"/>
      <c r="P12" s="131"/>
      <c r="Q12" s="131"/>
      <c r="R12" s="131"/>
      <c r="S12" s="131"/>
      <c r="T12" s="131"/>
      <c r="U12" s="132"/>
      <c r="V12" s="41">
        <f t="shared" si="1"/>
        <v>41</v>
      </c>
    </row>
    <row r="13" spans="1:22" ht="28.5" customHeight="1">
      <c r="A13" s="33" t="s">
        <v>17</v>
      </c>
      <c r="B13" s="117"/>
      <c r="C13" s="118"/>
      <c r="D13" s="118"/>
      <c r="E13" s="118"/>
      <c r="F13" s="118"/>
      <c r="G13" s="118"/>
      <c r="H13" s="118"/>
      <c r="I13" s="118"/>
      <c r="J13" s="119"/>
      <c r="K13" s="35" t="s">
        <v>73</v>
      </c>
      <c r="L13" s="137" t="str">
        <f t="shared" ca="1" si="0"/>
        <v/>
      </c>
      <c r="M13" s="131"/>
      <c r="N13" s="131"/>
      <c r="O13" s="131"/>
      <c r="P13" s="131"/>
      <c r="Q13" s="131"/>
      <c r="R13" s="131"/>
      <c r="S13" s="131"/>
      <c r="T13" s="131"/>
      <c r="U13" s="132"/>
      <c r="V13" s="41">
        <f t="shared" si="1"/>
        <v>43</v>
      </c>
    </row>
    <row r="14" spans="1:22" ht="28.5" customHeight="1">
      <c r="A14" s="33" t="s">
        <v>18</v>
      </c>
      <c r="B14" s="117"/>
      <c r="C14" s="118"/>
      <c r="D14" s="118"/>
      <c r="E14" s="118"/>
      <c r="F14" s="118"/>
      <c r="G14" s="118"/>
      <c r="H14" s="118"/>
      <c r="I14" s="118"/>
      <c r="J14" s="119"/>
      <c r="K14" s="35" t="s">
        <v>73</v>
      </c>
      <c r="L14" s="137" t="str">
        <f t="shared" ca="1" si="0"/>
        <v/>
      </c>
      <c r="M14" s="131"/>
      <c r="N14" s="131"/>
      <c r="O14" s="131"/>
      <c r="P14" s="131"/>
      <c r="Q14" s="131"/>
      <c r="R14" s="131"/>
      <c r="S14" s="131"/>
      <c r="T14" s="131"/>
      <c r="U14" s="132"/>
      <c r="V14" s="41">
        <f t="shared" si="1"/>
        <v>45</v>
      </c>
    </row>
    <row r="15" spans="1:22" ht="28.5" customHeight="1">
      <c r="A15" s="33" t="s">
        <v>19</v>
      </c>
      <c r="B15" s="117"/>
      <c r="C15" s="118"/>
      <c r="D15" s="118"/>
      <c r="E15" s="118"/>
      <c r="F15" s="118"/>
      <c r="G15" s="118"/>
      <c r="H15" s="118"/>
      <c r="I15" s="118"/>
      <c r="J15" s="119"/>
      <c r="K15" s="35" t="s">
        <v>73</v>
      </c>
      <c r="L15" s="137" t="str">
        <f t="shared" ca="1" si="0"/>
        <v/>
      </c>
      <c r="M15" s="131"/>
      <c r="N15" s="131"/>
      <c r="O15" s="131"/>
      <c r="P15" s="131"/>
      <c r="Q15" s="131"/>
      <c r="R15" s="131"/>
      <c r="S15" s="131"/>
      <c r="T15" s="131"/>
      <c r="U15" s="132"/>
      <c r="V15" s="41">
        <f t="shared" si="1"/>
        <v>47</v>
      </c>
    </row>
    <row r="16" spans="1:22" ht="28.5" customHeight="1">
      <c r="A16" s="33" t="s">
        <v>20</v>
      </c>
      <c r="B16" s="117"/>
      <c r="C16" s="118"/>
      <c r="D16" s="118"/>
      <c r="E16" s="118"/>
      <c r="F16" s="118"/>
      <c r="G16" s="118"/>
      <c r="H16" s="118"/>
      <c r="I16" s="118"/>
      <c r="J16" s="119"/>
      <c r="K16" s="35" t="s">
        <v>73</v>
      </c>
      <c r="L16" s="137" t="str">
        <f t="shared" ca="1" si="0"/>
        <v/>
      </c>
      <c r="M16" s="131"/>
      <c r="N16" s="131"/>
      <c r="O16" s="131"/>
      <c r="P16" s="131"/>
      <c r="Q16" s="131"/>
      <c r="R16" s="131"/>
      <c r="S16" s="131"/>
      <c r="T16" s="131"/>
      <c r="U16" s="132"/>
      <c r="V16" s="41">
        <f t="shared" si="1"/>
        <v>49</v>
      </c>
    </row>
    <row r="17" spans="1:88" ht="28.5" customHeight="1">
      <c r="A17" s="33" t="s">
        <v>22</v>
      </c>
      <c r="B17" s="117"/>
      <c r="C17" s="118"/>
      <c r="D17" s="118"/>
      <c r="E17" s="118"/>
      <c r="F17" s="118"/>
      <c r="G17" s="118"/>
      <c r="H17" s="118"/>
      <c r="I17" s="118"/>
      <c r="J17" s="119"/>
      <c r="K17" s="35" t="s">
        <v>73</v>
      </c>
      <c r="L17" s="137" t="str">
        <f t="shared" ca="1" si="0"/>
        <v/>
      </c>
      <c r="M17" s="131"/>
      <c r="N17" s="131"/>
      <c r="O17" s="131"/>
      <c r="P17" s="131"/>
      <c r="Q17" s="131"/>
      <c r="R17" s="131"/>
      <c r="S17" s="131"/>
      <c r="T17" s="131"/>
      <c r="U17" s="132"/>
      <c r="V17" s="41">
        <f t="shared" si="1"/>
        <v>51</v>
      </c>
    </row>
    <row r="18" spans="1:88" ht="28.5" customHeight="1">
      <c r="A18" s="33" t="s">
        <v>23</v>
      </c>
      <c r="B18" s="117"/>
      <c r="C18" s="118"/>
      <c r="D18" s="118"/>
      <c r="E18" s="118"/>
      <c r="F18" s="118"/>
      <c r="G18" s="118"/>
      <c r="H18" s="118"/>
      <c r="I18" s="118"/>
      <c r="J18" s="119"/>
      <c r="K18" s="35" t="s">
        <v>73</v>
      </c>
      <c r="L18" s="137" t="str">
        <f t="shared" ca="1" si="0"/>
        <v/>
      </c>
      <c r="M18" s="131"/>
      <c r="N18" s="131"/>
      <c r="O18" s="131"/>
      <c r="P18" s="131"/>
      <c r="Q18" s="131"/>
      <c r="R18" s="131"/>
      <c r="S18" s="131"/>
      <c r="T18" s="131"/>
      <c r="U18" s="132"/>
      <c r="V18" s="41">
        <f t="shared" si="1"/>
        <v>53</v>
      </c>
    </row>
    <row r="19" spans="1:88" ht="28.5" customHeight="1">
      <c r="A19" s="33" t="s">
        <v>24</v>
      </c>
      <c r="B19" s="117"/>
      <c r="C19" s="118"/>
      <c r="D19" s="118"/>
      <c r="E19" s="118"/>
      <c r="F19" s="118"/>
      <c r="G19" s="118"/>
      <c r="H19" s="118"/>
      <c r="I19" s="118"/>
      <c r="J19" s="119"/>
      <c r="K19" s="35" t="s">
        <v>73</v>
      </c>
      <c r="L19" s="137" t="str">
        <f t="shared" ca="1" si="0"/>
        <v/>
      </c>
      <c r="M19" s="131"/>
      <c r="N19" s="131"/>
      <c r="O19" s="131"/>
      <c r="P19" s="131"/>
      <c r="Q19" s="131"/>
      <c r="R19" s="131"/>
      <c r="S19" s="131"/>
      <c r="T19" s="131"/>
      <c r="U19" s="132"/>
      <c r="V19" s="41">
        <f t="shared" si="1"/>
        <v>55</v>
      </c>
    </row>
    <row r="20" spans="1:88" ht="28.5" customHeight="1">
      <c r="A20" s="33" t="s">
        <v>25</v>
      </c>
      <c r="B20" s="117"/>
      <c r="C20" s="118"/>
      <c r="D20" s="118"/>
      <c r="E20" s="118"/>
      <c r="F20" s="118"/>
      <c r="G20" s="118"/>
      <c r="H20" s="118"/>
      <c r="I20" s="118"/>
      <c r="J20" s="119"/>
      <c r="K20" s="35" t="s">
        <v>73</v>
      </c>
      <c r="L20" s="137" t="str">
        <f t="shared" ca="1" si="0"/>
        <v/>
      </c>
      <c r="M20" s="131"/>
      <c r="N20" s="131"/>
      <c r="O20" s="131"/>
      <c r="P20" s="131"/>
      <c r="Q20" s="131"/>
      <c r="R20" s="131"/>
      <c r="S20" s="131"/>
      <c r="T20" s="131"/>
      <c r="U20" s="132"/>
      <c r="V20" s="41">
        <f t="shared" si="1"/>
        <v>57</v>
      </c>
      <c r="AA20" s="3" t="str">
        <f t="shared" ref="AA20" si="2">CONCATENATE(B72,C72,D72,E72,F72,G72,H72,I72,J72,K72,L72,M72,U72,V72,W72,X72,Y72,AG72,AO72,AW72)</f>
        <v/>
      </c>
      <c r="BG20" s="3" t="str">
        <f t="shared" ref="BG20" si="3">CONCATENATE(AH72,AI72,AJ72,AK72,AL72,AM72,AN72,AO72,AP72,AQ72,AR72,AS72,BA72,BB72,BC72,BD72,BE72,BM72,BU72,CC72)</f>
        <v/>
      </c>
    </row>
    <row r="21" spans="1:88" ht="28.5" customHeight="1">
      <c r="A21" s="33" t="s">
        <v>122</v>
      </c>
      <c r="B21" s="117"/>
      <c r="C21" s="118"/>
      <c r="D21" s="118"/>
      <c r="E21" s="118"/>
      <c r="F21" s="118"/>
      <c r="G21" s="118"/>
      <c r="H21" s="118"/>
      <c r="I21" s="118"/>
      <c r="J21" s="119"/>
      <c r="K21" s="35" t="s">
        <v>73</v>
      </c>
      <c r="L21" s="137" t="str">
        <f t="shared" ca="1" si="0"/>
        <v/>
      </c>
      <c r="M21" s="131"/>
      <c r="N21" s="131"/>
      <c r="O21" s="131"/>
      <c r="P21" s="131"/>
      <c r="Q21" s="131"/>
      <c r="R21" s="131"/>
      <c r="S21" s="131"/>
      <c r="T21" s="131"/>
      <c r="U21" s="132"/>
      <c r="V21" s="41">
        <f t="shared" si="1"/>
        <v>59</v>
      </c>
    </row>
    <row r="22" spans="1:88" ht="82.9" customHeight="1">
      <c r="A22" s="48" t="s">
        <v>71</v>
      </c>
      <c r="B22" s="129" t="e">
        <f ca="1">CONCATENATE(L6,L7,L8,L9,L10,L11,L12,L13,L14,L15,L16,L17,L18,L19,L20,L21)</f>
        <v>#NUM!</v>
      </c>
      <c r="C22" s="130"/>
      <c r="D22" s="130"/>
      <c r="E22" s="130"/>
      <c r="F22" s="130"/>
      <c r="G22" s="130"/>
      <c r="H22" s="130"/>
      <c r="I22" s="130"/>
      <c r="J22" s="130"/>
      <c r="K22" s="130"/>
      <c r="L22" s="130"/>
      <c r="M22" s="130"/>
      <c r="N22" s="130"/>
      <c r="O22" s="130"/>
      <c r="P22" s="130"/>
      <c r="Q22" s="130"/>
      <c r="R22" s="130"/>
      <c r="S22" s="131"/>
      <c r="T22" s="131"/>
      <c r="U22" s="132"/>
    </row>
    <row r="23" spans="1:88">
      <c r="B23" s="2"/>
      <c r="C23" s="36"/>
      <c r="D23" s="4"/>
      <c r="E23" s="4"/>
      <c r="F23" s="37"/>
      <c r="G23" s="4"/>
      <c r="H23" s="37"/>
      <c r="I23" s="4"/>
      <c r="J23" s="4"/>
      <c r="K23" s="4"/>
      <c r="L23" s="4"/>
      <c r="M23" s="4"/>
      <c r="N23" s="4"/>
      <c r="O23" s="4"/>
      <c r="P23" s="4"/>
      <c r="Q23" s="4"/>
      <c r="R23" s="4"/>
      <c r="S23" s="4"/>
      <c r="T23" s="4"/>
    </row>
    <row r="24" spans="1:88">
      <c r="B24" s="126" t="s">
        <v>115</v>
      </c>
      <c r="C24" s="126"/>
      <c r="D24" s="126"/>
      <c r="E24" s="126"/>
      <c r="F24" s="127" t="s">
        <v>116</v>
      </c>
      <c r="G24" s="126"/>
      <c r="H24" s="126"/>
      <c r="I24" s="127" t="s">
        <v>117</v>
      </c>
      <c r="J24" s="126"/>
      <c r="K24" s="127" t="s">
        <v>118</v>
      </c>
      <c r="L24" s="126"/>
      <c r="M24" s="128" t="s">
        <v>114</v>
      </c>
      <c r="N24" s="121"/>
      <c r="O24" s="121"/>
      <c r="P24" s="121"/>
      <c r="Q24" s="121"/>
      <c r="R24" s="121"/>
      <c r="S24" s="121"/>
      <c r="T24" s="122"/>
      <c r="U24" s="38" t="s">
        <v>119</v>
      </c>
      <c r="V24" s="38" t="s">
        <v>67</v>
      </c>
      <c r="W24" s="127" t="s">
        <v>120</v>
      </c>
      <c r="X24" s="126"/>
      <c r="Y24" s="120" t="s">
        <v>77</v>
      </c>
      <c r="Z24" s="121"/>
      <c r="AA24" s="121"/>
      <c r="AB24" s="121"/>
      <c r="AC24" s="121"/>
      <c r="AD24" s="121"/>
      <c r="AE24" s="121"/>
      <c r="AF24" s="121"/>
      <c r="AG24" s="121"/>
      <c r="AH24" s="121"/>
      <c r="AI24" s="121"/>
      <c r="AJ24" s="121"/>
      <c r="AK24" s="121"/>
      <c r="AL24" s="121"/>
      <c r="AM24" s="121"/>
      <c r="AN24" s="122"/>
      <c r="AO24" s="120" t="s">
        <v>78</v>
      </c>
      <c r="AP24" s="121"/>
      <c r="AQ24" s="121"/>
      <c r="AR24" s="121"/>
      <c r="AS24" s="121"/>
      <c r="AT24" s="121"/>
      <c r="AU24" s="121"/>
      <c r="AV24" s="121"/>
      <c r="AW24" s="121"/>
      <c r="AX24" s="121"/>
      <c r="AY24" s="121"/>
      <c r="AZ24" s="121"/>
      <c r="BA24" s="121"/>
      <c r="BB24" s="121"/>
      <c r="BC24" s="121"/>
      <c r="BD24" s="122"/>
      <c r="BE24" s="120" t="s">
        <v>146</v>
      </c>
      <c r="BF24" s="121"/>
      <c r="BG24" s="121"/>
      <c r="BH24" s="121"/>
      <c r="BI24" s="121"/>
      <c r="BJ24" s="121"/>
      <c r="BK24" s="121"/>
      <c r="BL24" s="121"/>
      <c r="BM24" s="121"/>
      <c r="BN24" s="121"/>
      <c r="BO24" s="121"/>
      <c r="BP24" s="121"/>
      <c r="BQ24" s="121"/>
      <c r="BR24" s="121"/>
      <c r="BS24" s="121"/>
      <c r="BT24" s="122"/>
      <c r="BU24" s="120" t="s">
        <v>147</v>
      </c>
      <c r="BV24" s="121"/>
      <c r="BW24" s="121"/>
      <c r="BX24" s="121"/>
      <c r="BY24" s="121"/>
      <c r="BZ24" s="121"/>
      <c r="CA24" s="121"/>
      <c r="CB24" s="121"/>
      <c r="CC24" s="121"/>
      <c r="CD24" s="121"/>
      <c r="CE24" s="121"/>
      <c r="CF24" s="121"/>
      <c r="CG24" s="121"/>
      <c r="CH24" s="121"/>
      <c r="CI24" s="121"/>
      <c r="CJ24" s="122"/>
    </row>
    <row r="25" spans="1:88" s="44" customFormat="1" ht="142.35" customHeight="1">
      <c r="A25" s="42"/>
      <c r="B25" s="43" t="str">
        <f t="shared" ref="B25:L25" ca="1" si="4">IF(INDIRECT("'parameters recipe'!G"&amp;B27)&lt;&gt;0,INDIRECT("'parameters recipe'!G"&amp;B27),"")</f>
        <v>°C</v>
      </c>
      <c r="C25" s="43" t="str">
        <f t="shared" ca="1" si="4"/>
        <v/>
      </c>
      <c r="D25" s="43" t="str">
        <f t="shared" ca="1" si="4"/>
        <v>°C</v>
      </c>
      <c r="E25" s="43" t="str">
        <f t="shared" ca="1" si="4"/>
        <v/>
      </c>
      <c r="F25" s="43" t="str">
        <f t="shared" ca="1" si="4"/>
        <v>°C</v>
      </c>
      <c r="G25" s="43" t="str">
        <f t="shared" ca="1" si="4"/>
        <v/>
      </c>
      <c r="H25" s="43" t="str">
        <f t="shared" ca="1" si="4"/>
        <v>°C</v>
      </c>
      <c r="I25" s="43" t="str">
        <f t="shared" ca="1" si="4"/>
        <v/>
      </c>
      <c r="J25" s="43" t="str">
        <f t="shared" ca="1" si="4"/>
        <v>x 0.1 ml/s</v>
      </c>
      <c r="K25" s="43" t="str">
        <f t="shared" ca="1" si="4"/>
        <v/>
      </c>
      <c r="L25" s="43" t="str">
        <f t="shared" ca="1" si="4"/>
        <v>x 0.1 ml/s</v>
      </c>
      <c r="M25" s="43" t="str">
        <f ca="1">IF(INDIRECT("'parameters recipe'!G"&amp;M27)&lt;&gt;0,INDIRECT("'parameters recipe'!G"&amp;M27),"")</f>
        <v/>
      </c>
      <c r="N25" s="43" t="str">
        <f t="shared" ref="N25:BY25" ca="1" si="5">IF(INDIRECT("'parameters recipe'!G"&amp;N27)&lt;&gt;0,INDIRECT("'parameters recipe'!G"&amp;N27),"")</f>
        <v>%</v>
      </c>
      <c r="O25" s="43" t="str">
        <f t="shared" ca="1" si="5"/>
        <v/>
      </c>
      <c r="P25" s="43" t="str">
        <f t="shared" ca="1" si="5"/>
        <v>x 0.1 Bar</v>
      </c>
      <c r="Q25" s="43" t="str">
        <f t="shared" ca="1" si="5"/>
        <v>x 0.1 Bar</v>
      </c>
      <c r="R25" s="43" t="str">
        <f t="shared" ca="1" si="5"/>
        <v>ml</v>
      </c>
      <c r="S25" s="43" t="str">
        <f t="shared" ca="1" si="5"/>
        <v>ml</v>
      </c>
      <c r="T25" s="43" t="str">
        <f t="shared" ca="1" si="5"/>
        <v>-</v>
      </c>
      <c r="U25" s="43" t="str">
        <f t="shared" ca="1" si="5"/>
        <v/>
      </c>
      <c r="V25" s="43" t="str">
        <f t="shared" ca="1" si="5"/>
        <v/>
      </c>
      <c r="W25" s="43" t="str">
        <f t="shared" ca="1" si="5"/>
        <v/>
      </c>
      <c r="X25" s="43" t="str">
        <f t="shared" ca="1" si="5"/>
        <v/>
      </c>
      <c r="Y25" s="43" t="str">
        <f t="shared" ca="1" si="5"/>
        <v/>
      </c>
      <c r="Z25" s="43" t="str">
        <f t="shared" ca="1" si="5"/>
        <v/>
      </c>
      <c r="AA25" s="43" t="str">
        <f t="shared" ca="1" si="5"/>
        <v/>
      </c>
      <c r="AB25" s="43" t="str">
        <f t="shared" ca="1" si="5"/>
        <v/>
      </c>
      <c r="AC25" s="43" t="str">
        <f t="shared" ca="1" si="5"/>
        <v/>
      </c>
      <c r="AD25" s="43" t="str">
        <f t="shared" ca="1" si="5"/>
        <v>-</v>
      </c>
      <c r="AE25" s="43" t="str">
        <f t="shared" ca="1" si="5"/>
        <v/>
      </c>
      <c r="AF25" s="43" t="str">
        <f t="shared" ca="1" si="5"/>
        <v/>
      </c>
      <c r="AG25" s="43" t="str">
        <f t="shared" ca="1" si="5"/>
        <v/>
      </c>
      <c r="AH25" s="43" t="str">
        <f t="shared" ca="1" si="5"/>
        <v/>
      </c>
      <c r="AI25" s="43" t="str">
        <f t="shared" ca="1" si="5"/>
        <v/>
      </c>
      <c r="AJ25" s="43" t="str">
        <f t="shared" ca="1" si="5"/>
        <v>x 0.1 s</v>
      </c>
      <c r="AK25" s="43" t="str">
        <f t="shared" ca="1" si="5"/>
        <v>-</v>
      </c>
      <c r="AL25" s="43" t="str">
        <f t="shared" ca="1" si="5"/>
        <v/>
      </c>
      <c r="AM25" s="43" t="str">
        <f t="shared" ca="1" si="5"/>
        <v/>
      </c>
      <c r="AN25" s="43" t="str">
        <f t="shared" ca="1" si="5"/>
        <v/>
      </c>
      <c r="AO25" s="43" t="str">
        <f t="shared" ca="1" si="5"/>
        <v>-</v>
      </c>
      <c r="AP25" s="43" t="str">
        <f t="shared" ca="1" si="5"/>
        <v/>
      </c>
      <c r="AQ25" s="43" t="str">
        <f t="shared" ca="1" si="5"/>
        <v/>
      </c>
      <c r="AR25" s="43" t="str">
        <f t="shared" ca="1" si="5"/>
        <v/>
      </c>
      <c r="AS25" s="43" t="str">
        <f t="shared" ca="1" si="5"/>
        <v>-</v>
      </c>
      <c r="AT25" s="43" t="str">
        <f t="shared" ca="1" si="5"/>
        <v>-</v>
      </c>
      <c r="AU25" s="43" t="str">
        <f t="shared" ca="1" si="5"/>
        <v>-</v>
      </c>
      <c r="AV25" s="43" t="str">
        <f t="shared" ca="1" si="5"/>
        <v>-</v>
      </c>
      <c r="AW25" s="43" t="str">
        <f t="shared" ca="1" si="5"/>
        <v>-</v>
      </c>
      <c r="AX25" s="43" t="str">
        <f t="shared" ca="1" si="5"/>
        <v>-</v>
      </c>
      <c r="AY25" s="43" t="str">
        <f t="shared" ca="1" si="5"/>
        <v>-</v>
      </c>
      <c r="AZ25" s="43" t="str">
        <f t="shared" ca="1" si="5"/>
        <v>-</v>
      </c>
      <c r="BA25" s="43" t="str">
        <f t="shared" ca="1" si="5"/>
        <v>-</v>
      </c>
      <c r="BB25" s="43" t="str">
        <f t="shared" ca="1" si="5"/>
        <v>-</v>
      </c>
      <c r="BC25" s="43" t="str">
        <f t="shared" ca="1" si="5"/>
        <v>-</v>
      </c>
      <c r="BD25" s="43" t="str">
        <f t="shared" ca="1" si="5"/>
        <v>-</v>
      </c>
      <c r="BE25" s="43" t="str">
        <f t="shared" ca="1" si="5"/>
        <v>-</v>
      </c>
      <c r="BF25" s="43" t="str">
        <f t="shared" ca="1" si="5"/>
        <v>-</v>
      </c>
      <c r="BG25" s="43" t="str">
        <f t="shared" ca="1" si="5"/>
        <v>-</v>
      </c>
      <c r="BH25" s="43" t="str">
        <f t="shared" ca="1" si="5"/>
        <v>-</v>
      </c>
      <c r="BI25" s="43" t="str">
        <f t="shared" ca="1" si="5"/>
        <v>-</v>
      </c>
      <c r="BJ25" s="43" t="str">
        <f t="shared" ca="1" si="5"/>
        <v>-</v>
      </c>
      <c r="BK25" s="43" t="str">
        <f t="shared" ca="1" si="5"/>
        <v>-</v>
      </c>
      <c r="BL25" s="43" t="str">
        <f t="shared" ca="1" si="5"/>
        <v>-</v>
      </c>
      <c r="BM25" s="43" t="str">
        <f t="shared" ca="1" si="5"/>
        <v>-</v>
      </c>
      <c r="BN25" s="43" t="str">
        <f t="shared" ca="1" si="5"/>
        <v>-</v>
      </c>
      <c r="BO25" s="43" t="str">
        <f t="shared" ca="1" si="5"/>
        <v>-</v>
      </c>
      <c r="BP25" s="43" t="str">
        <f t="shared" ca="1" si="5"/>
        <v>-</v>
      </c>
      <c r="BQ25" s="43" t="str">
        <f t="shared" ca="1" si="5"/>
        <v>-</v>
      </c>
      <c r="BR25" s="43" t="str">
        <f t="shared" ca="1" si="5"/>
        <v>-</v>
      </c>
      <c r="BS25" s="43" t="str">
        <f t="shared" ca="1" si="5"/>
        <v>-</v>
      </c>
      <c r="BT25" s="43" t="str">
        <f t="shared" ca="1" si="5"/>
        <v>-</v>
      </c>
      <c r="BU25" s="43" t="str">
        <f t="shared" ca="1" si="5"/>
        <v>-</v>
      </c>
      <c r="BV25" s="43" t="str">
        <f t="shared" ca="1" si="5"/>
        <v>-</v>
      </c>
      <c r="BW25" s="43" t="str">
        <f t="shared" ca="1" si="5"/>
        <v>-</v>
      </c>
      <c r="BX25" s="43" t="str">
        <f t="shared" ca="1" si="5"/>
        <v>-</v>
      </c>
      <c r="BY25" s="43" t="str">
        <f t="shared" ca="1" si="5"/>
        <v>-</v>
      </c>
      <c r="BZ25" s="43" t="str">
        <f t="shared" ref="BZ25:CJ25" ca="1" si="6">IF(INDIRECT("'parameters recipe'!G"&amp;BZ27)&lt;&gt;0,INDIRECT("'parameters recipe'!G"&amp;BZ27),"")</f>
        <v>-</v>
      </c>
      <c r="CA25" s="43" t="str">
        <f t="shared" ca="1" si="6"/>
        <v>-</v>
      </c>
      <c r="CB25" s="43" t="str">
        <f t="shared" ca="1" si="6"/>
        <v>-</v>
      </c>
      <c r="CC25" s="43" t="str">
        <f t="shared" ca="1" si="6"/>
        <v>-</v>
      </c>
      <c r="CD25" s="43" t="str">
        <f t="shared" ca="1" si="6"/>
        <v>-</v>
      </c>
      <c r="CE25" s="43" t="str">
        <f t="shared" ca="1" si="6"/>
        <v>-</v>
      </c>
      <c r="CF25" s="43" t="str">
        <f t="shared" ca="1" si="6"/>
        <v>-</v>
      </c>
      <c r="CG25" s="43" t="str">
        <f t="shared" ca="1" si="6"/>
        <v>-</v>
      </c>
      <c r="CH25" s="43" t="str">
        <f t="shared" ca="1" si="6"/>
        <v>-</v>
      </c>
      <c r="CI25" s="43" t="str">
        <f t="shared" ca="1" si="6"/>
        <v>-</v>
      </c>
      <c r="CJ25" s="43" t="str">
        <f t="shared" ca="1" si="6"/>
        <v>-</v>
      </c>
    </row>
    <row r="26" spans="1:88" s="26" customFormat="1" ht="35.25">
      <c r="A26" s="28" t="s">
        <v>6</v>
      </c>
      <c r="B26" s="27">
        <f ca="1">IF(INDIRECT("'parameters recipe'!F"&amp;B27)&lt;&gt;0,INDIRECT("'parameters recipe'!F"&amp;B27),"")</f>
        <v>255</v>
      </c>
      <c r="C26" s="27" t="str">
        <f t="shared" ref="C26:BN26" ca="1" si="7">IF(INDIRECT("'parameters recipe'!F"&amp;C27)&lt;&gt;0,INDIRECT("'parameters recipe'!F"&amp;C27),"")</f>
        <v/>
      </c>
      <c r="D26" s="27">
        <f t="shared" ca="1" si="7"/>
        <v>255</v>
      </c>
      <c r="E26" s="27" t="str">
        <f t="shared" ca="1" si="7"/>
        <v/>
      </c>
      <c r="F26" s="27">
        <f t="shared" ca="1" si="7"/>
        <v>255</v>
      </c>
      <c r="G26" s="27" t="str">
        <f t="shared" ca="1" si="7"/>
        <v/>
      </c>
      <c r="H26" s="27">
        <f t="shared" ca="1" si="7"/>
        <v>255</v>
      </c>
      <c r="I26" s="27" t="str">
        <f t="shared" ca="1" si="7"/>
        <v/>
      </c>
      <c r="J26" s="27">
        <f t="shared" ca="1" si="7"/>
        <v>255</v>
      </c>
      <c r="K26" s="27" t="str">
        <f t="shared" ca="1" si="7"/>
        <v/>
      </c>
      <c r="L26" s="27">
        <f t="shared" ca="1" si="7"/>
        <v>255</v>
      </c>
      <c r="M26" s="27" t="str">
        <f t="shared" ca="1" si="7"/>
        <v/>
      </c>
      <c r="N26" s="27">
        <f t="shared" ca="1" si="7"/>
        <v>255</v>
      </c>
      <c r="O26" s="27" t="str">
        <f t="shared" ca="1" si="7"/>
        <v/>
      </c>
      <c r="P26" s="27">
        <f t="shared" ca="1" si="7"/>
        <v>255</v>
      </c>
      <c r="Q26" s="27">
        <f t="shared" ca="1" si="7"/>
        <v>255</v>
      </c>
      <c r="R26" s="27">
        <f t="shared" ca="1" si="7"/>
        <v>65535</v>
      </c>
      <c r="S26" s="27">
        <f t="shared" ca="1" si="7"/>
        <v>65535</v>
      </c>
      <c r="T26" s="27">
        <f t="shared" ca="1" si="7"/>
        <v>255</v>
      </c>
      <c r="U26" s="27" t="str">
        <f t="shared" ca="1" si="7"/>
        <v/>
      </c>
      <c r="V26" s="27" t="str">
        <f t="shared" ca="1" si="7"/>
        <v/>
      </c>
      <c r="W26" s="27" t="str">
        <f t="shared" ca="1" si="7"/>
        <v/>
      </c>
      <c r="X26" s="27" t="str">
        <f t="shared" ca="1" si="7"/>
        <v/>
      </c>
      <c r="Y26" s="27" t="str">
        <f t="shared" ca="1" si="7"/>
        <v/>
      </c>
      <c r="Z26" s="27" t="str">
        <f t="shared" ca="1" si="7"/>
        <v/>
      </c>
      <c r="AA26" s="27" t="str">
        <f t="shared" ca="1" si="7"/>
        <v/>
      </c>
      <c r="AB26" s="27" t="str">
        <f t="shared" ca="1" si="7"/>
        <v/>
      </c>
      <c r="AC26" s="27" t="str">
        <f t="shared" ca="1" si="7"/>
        <v/>
      </c>
      <c r="AD26" s="27">
        <f t="shared" ca="1" si="7"/>
        <v>255</v>
      </c>
      <c r="AE26" s="27" t="str">
        <f t="shared" ca="1" si="7"/>
        <v/>
      </c>
      <c r="AF26" s="27" t="str">
        <f t="shared" ca="1" si="7"/>
        <v/>
      </c>
      <c r="AG26" s="27" t="str">
        <f t="shared" ca="1" si="7"/>
        <v/>
      </c>
      <c r="AH26" s="27" t="str">
        <f t="shared" ca="1" si="7"/>
        <v/>
      </c>
      <c r="AI26" s="27" t="str">
        <f t="shared" ca="1" si="7"/>
        <v/>
      </c>
      <c r="AJ26" s="27">
        <f t="shared" ca="1" si="7"/>
        <v>65535</v>
      </c>
      <c r="AK26" s="27">
        <f t="shared" ca="1" si="7"/>
        <v>2</v>
      </c>
      <c r="AL26" s="27" t="str">
        <f t="shared" ca="1" si="7"/>
        <v/>
      </c>
      <c r="AM26" s="27" t="str">
        <f t="shared" ca="1" si="7"/>
        <v/>
      </c>
      <c r="AN26" s="27" t="str">
        <f t="shared" ca="1" si="7"/>
        <v/>
      </c>
      <c r="AO26" s="27">
        <f t="shared" ca="1" si="7"/>
        <v>2</v>
      </c>
      <c r="AP26" s="27" t="str">
        <f t="shared" ca="1" si="7"/>
        <v/>
      </c>
      <c r="AQ26" s="27" t="str">
        <f t="shared" ca="1" si="7"/>
        <v/>
      </c>
      <c r="AR26" s="27" t="str">
        <f t="shared" ca="1" si="7"/>
        <v/>
      </c>
      <c r="AS26" s="27">
        <f t="shared" ca="1" si="7"/>
        <v>65535</v>
      </c>
      <c r="AT26" s="27" t="str">
        <f t="shared" ca="1" si="7"/>
        <v/>
      </c>
      <c r="AU26" s="27" t="str">
        <f t="shared" ca="1" si="7"/>
        <v/>
      </c>
      <c r="AV26" s="27" t="str">
        <f t="shared" ca="1" si="7"/>
        <v/>
      </c>
      <c r="AW26" s="27" t="str">
        <f t="shared" ca="1" si="7"/>
        <v/>
      </c>
      <c r="AX26" s="27" t="str">
        <f t="shared" ca="1" si="7"/>
        <v/>
      </c>
      <c r="AY26" s="27" t="str">
        <f t="shared" ca="1" si="7"/>
        <v/>
      </c>
      <c r="AZ26" s="27" t="str">
        <f t="shared" ca="1" si="7"/>
        <v/>
      </c>
      <c r="BA26" s="27" t="str">
        <f t="shared" ca="1" si="7"/>
        <v/>
      </c>
      <c r="BB26" s="27" t="str">
        <f t="shared" ca="1" si="7"/>
        <v/>
      </c>
      <c r="BC26" s="27" t="str">
        <f t="shared" ca="1" si="7"/>
        <v/>
      </c>
      <c r="BD26" s="27" t="str">
        <f t="shared" ca="1" si="7"/>
        <v/>
      </c>
      <c r="BE26" s="27" t="str">
        <f t="shared" ca="1" si="7"/>
        <v/>
      </c>
      <c r="BF26" s="27" t="str">
        <f t="shared" ca="1" si="7"/>
        <v/>
      </c>
      <c r="BG26" s="27" t="str">
        <f t="shared" ca="1" si="7"/>
        <v/>
      </c>
      <c r="BH26" s="27" t="str">
        <f t="shared" ca="1" si="7"/>
        <v/>
      </c>
      <c r="BI26" s="27">
        <f t="shared" ca="1" si="7"/>
        <v>65535</v>
      </c>
      <c r="BJ26" s="27" t="str">
        <f t="shared" ca="1" si="7"/>
        <v/>
      </c>
      <c r="BK26" s="27" t="str">
        <f t="shared" ca="1" si="7"/>
        <v/>
      </c>
      <c r="BL26" s="27" t="str">
        <f t="shared" ca="1" si="7"/>
        <v/>
      </c>
      <c r="BM26" s="27" t="str">
        <f t="shared" ca="1" si="7"/>
        <v/>
      </c>
      <c r="BN26" s="27" t="str">
        <f t="shared" ca="1" si="7"/>
        <v/>
      </c>
      <c r="BO26" s="27" t="str">
        <f t="shared" ref="BO26:CJ26" ca="1" si="8">IF(INDIRECT("'parameters recipe'!F"&amp;BO27)&lt;&gt;0,INDIRECT("'parameters recipe'!F"&amp;BO27),"")</f>
        <v/>
      </c>
      <c r="BP26" s="27" t="str">
        <f t="shared" ca="1" si="8"/>
        <v/>
      </c>
      <c r="BQ26" s="27" t="str">
        <f t="shared" ca="1" si="8"/>
        <v/>
      </c>
      <c r="BR26" s="27" t="str">
        <f t="shared" ca="1" si="8"/>
        <v/>
      </c>
      <c r="BS26" s="27" t="str">
        <f t="shared" ca="1" si="8"/>
        <v/>
      </c>
      <c r="BT26" s="27" t="str">
        <f t="shared" ca="1" si="8"/>
        <v/>
      </c>
      <c r="BU26" s="27" t="str">
        <f t="shared" ca="1" si="8"/>
        <v/>
      </c>
      <c r="BV26" s="27" t="str">
        <f t="shared" ca="1" si="8"/>
        <v/>
      </c>
      <c r="BW26" s="27" t="str">
        <f t="shared" ca="1" si="8"/>
        <v/>
      </c>
      <c r="BX26" s="27" t="str">
        <f t="shared" ca="1" si="8"/>
        <v/>
      </c>
      <c r="BY26" s="27">
        <f t="shared" ca="1" si="8"/>
        <v>65535</v>
      </c>
      <c r="BZ26" s="27" t="str">
        <f t="shared" ca="1" si="8"/>
        <v/>
      </c>
      <c r="CA26" s="27" t="str">
        <f t="shared" ca="1" si="8"/>
        <v/>
      </c>
      <c r="CB26" s="27" t="str">
        <f t="shared" ca="1" si="8"/>
        <v/>
      </c>
      <c r="CC26" s="27" t="str">
        <f t="shared" ca="1" si="8"/>
        <v/>
      </c>
      <c r="CD26" s="27" t="str">
        <f t="shared" ca="1" si="8"/>
        <v/>
      </c>
      <c r="CE26" s="27" t="str">
        <f t="shared" ca="1" si="8"/>
        <v/>
      </c>
      <c r="CF26" s="27" t="str">
        <f t="shared" ca="1" si="8"/>
        <v/>
      </c>
      <c r="CG26" s="27" t="str">
        <f t="shared" ca="1" si="8"/>
        <v/>
      </c>
      <c r="CH26" s="27" t="str">
        <f t="shared" ca="1" si="8"/>
        <v/>
      </c>
      <c r="CI26" s="27" t="str">
        <f t="shared" ca="1" si="8"/>
        <v/>
      </c>
      <c r="CJ26" s="27" t="str">
        <f t="shared" ca="1" si="8"/>
        <v/>
      </c>
    </row>
    <row r="27" spans="1:88" s="29" customFormat="1" hidden="1">
      <c r="A27" s="30" t="s">
        <v>50</v>
      </c>
      <c r="B27" s="31">
        <v>5</v>
      </c>
      <c r="C27" s="31">
        <f>B27+1</f>
        <v>6</v>
      </c>
      <c r="D27" s="31">
        <f t="shared" ref="D27:BO27" si="9">C27+1</f>
        <v>7</v>
      </c>
      <c r="E27" s="31">
        <f t="shared" si="9"/>
        <v>8</v>
      </c>
      <c r="F27" s="31">
        <f t="shared" si="9"/>
        <v>9</v>
      </c>
      <c r="G27" s="31">
        <f t="shared" si="9"/>
        <v>10</v>
      </c>
      <c r="H27" s="31">
        <f t="shared" si="9"/>
        <v>11</v>
      </c>
      <c r="I27" s="31">
        <f t="shared" si="9"/>
        <v>12</v>
      </c>
      <c r="J27" s="31">
        <f t="shared" si="9"/>
        <v>13</v>
      </c>
      <c r="K27" s="31">
        <f t="shared" si="9"/>
        <v>14</v>
      </c>
      <c r="L27" s="31">
        <f t="shared" si="9"/>
        <v>15</v>
      </c>
      <c r="M27" s="31">
        <f t="shared" si="9"/>
        <v>16</v>
      </c>
      <c r="N27" s="31">
        <f t="shared" si="9"/>
        <v>17</v>
      </c>
      <c r="O27" s="31">
        <f t="shared" si="9"/>
        <v>18</v>
      </c>
      <c r="P27" s="31">
        <f t="shared" si="9"/>
        <v>19</v>
      </c>
      <c r="Q27" s="31">
        <f t="shared" si="9"/>
        <v>20</v>
      </c>
      <c r="R27" s="31">
        <f t="shared" si="9"/>
        <v>21</v>
      </c>
      <c r="S27" s="31">
        <f t="shared" si="9"/>
        <v>22</v>
      </c>
      <c r="T27" s="31">
        <f t="shared" si="9"/>
        <v>23</v>
      </c>
      <c r="U27" s="31">
        <f t="shared" si="9"/>
        <v>24</v>
      </c>
      <c r="V27" s="31">
        <f t="shared" si="9"/>
        <v>25</v>
      </c>
      <c r="W27" s="31">
        <f t="shared" si="9"/>
        <v>26</v>
      </c>
      <c r="X27" s="31">
        <f t="shared" si="9"/>
        <v>27</v>
      </c>
      <c r="Y27" s="31">
        <f t="shared" si="9"/>
        <v>28</v>
      </c>
      <c r="Z27" s="31">
        <f t="shared" si="9"/>
        <v>29</v>
      </c>
      <c r="AA27" s="31">
        <f t="shared" si="9"/>
        <v>30</v>
      </c>
      <c r="AB27" s="31">
        <f t="shared" si="9"/>
        <v>31</v>
      </c>
      <c r="AC27" s="31">
        <f t="shared" si="9"/>
        <v>32</v>
      </c>
      <c r="AD27" s="31">
        <f t="shared" si="9"/>
        <v>33</v>
      </c>
      <c r="AE27" s="31">
        <f t="shared" si="9"/>
        <v>34</v>
      </c>
      <c r="AF27" s="31">
        <f t="shared" si="9"/>
        <v>35</v>
      </c>
      <c r="AG27" s="31">
        <f t="shared" si="9"/>
        <v>36</v>
      </c>
      <c r="AH27" s="31">
        <f t="shared" si="9"/>
        <v>37</v>
      </c>
      <c r="AI27" s="31">
        <f t="shared" si="9"/>
        <v>38</v>
      </c>
      <c r="AJ27" s="31">
        <f t="shared" si="9"/>
        <v>39</v>
      </c>
      <c r="AK27" s="31">
        <f t="shared" si="9"/>
        <v>40</v>
      </c>
      <c r="AL27" s="31">
        <f t="shared" si="9"/>
        <v>41</v>
      </c>
      <c r="AM27" s="31">
        <f t="shared" si="9"/>
        <v>42</v>
      </c>
      <c r="AN27" s="31">
        <f t="shared" si="9"/>
        <v>43</v>
      </c>
      <c r="AO27" s="31">
        <f t="shared" si="9"/>
        <v>44</v>
      </c>
      <c r="AP27" s="31">
        <f t="shared" si="9"/>
        <v>45</v>
      </c>
      <c r="AQ27" s="31">
        <f t="shared" si="9"/>
        <v>46</v>
      </c>
      <c r="AR27" s="31">
        <f t="shared" si="9"/>
        <v>47</v>
      </c>
      <c r="AS27" s="31">
        <f t="shared" si="9"/>
        <v>48</v>
      </c>
      <c r="AT27" s="31">
        <f t="shared" si="9"/>
        <v>49</v>
      </c>
      <c r="AU27" s="31">
        <f t="shared" si="9"/>
        <v>50</v>
      </c>
      <c r="AV27" s="31">
        <f t="shared" si="9"/>
        <v>51</v>
      </c>
      <c r="AW27" s="31">
        <f t="shared" si="9"/>
        <v>52</v>
      </c>
      <c r="AX27" s="31">
        <f t="shared" si="9"/>
        <v>53</v>
      </c>
      <c r="AY27" s="31">
        <f t="shared" si="9"/>
        <v>54</v>
      </c>
      <c r="AZ27" s="31">
        <f t="shared" si="9"/>
        <v>55</v>
      </c>
      <c r="BA27" s="31">
        <f t="shared" si="9"/>
        <v>56</v>
      </c>
      <c r="BB27" s="31">
        <f t="shared" si="9"/>
        <v>57</v>
      </c>
      <c r="BC27" s="31">
        <f t="shared" si="9"/>
        <v>58</v>
      </c>
      <c r="BD27" s="31">
        <f t="shared" si="9"/>
        <v>59</v>
      </c>
      <c r="BE27" s="31">
        <f t="shared" si="9"/>
        <v>60</v>
      </c>
      <c r="BF27" s="31">
        <f t="shared" si="9"/>
        <v>61</v>
      </c>
      <c r="BG27" s="31">
        <f t="shared" si="9"/>
        <v>62</v>
      </c>
      <c r="BH27" s="31">
        <f t="shared" si="9"/>
        <v>63</v>
      </c>
      <c r="BI27" s="31">
        <f t="shared" si="9"/>
        <v>64</v>
      </c>
      <c r="BJ27" s="31">
        <f t="shared" si="9"/>
        <v>65</v>
      </c>
      <c r="BK27" s="31">
        <f t="shared" si="9"/>
        <v>66</v>
      </c>
      <c r="BL27" s="31">
        <f t="shared" si="9"/>
        <v>67</v>
      </c>
      <c r="BM27" s="31">
        <f t="shared" si="9"/>
        <v>68</v>
      </c>
      <c r="BN27" s="31">
        <f t="shared" si="9"/>
        <v>69</v>
      </c>
      <c r="BO27" s="31">
        <f t="shared" si="9"/>
        <v>70</v>
      </c>
      <c r="BP27" s="31">
        <f t="shared" ref="BP27:CJ27" si="10">BO27+1</f>
        <v>71</v>
      </c>
      <c r="BQ27" s="31">
        <f t="shared" si="10"/>
        <v>72</v>
      </c>
      <c r="BR27" s="31">
        <f t="shared" si="10"/>
        <v>73</v>
      </c>
      <c r="BS27" s="31">
        <f t="shared" si="10"/>
        <v>74</v>
      </c>
      <c r="BT27" s="31">
        <f t="shared" si="10"/>
        <v>75</v>
      </c>
      <c r="BU27" s="31">
        <f t="shared" si="10"/>
        <v>76</v>
      </c>
      <c r="BV27" s="31">
        <f t="shared" si="10"/>
        <v>77</v>
      </c>
      <c r="BW27" s="31">
        <f t="shared" si="10"/>
        <v>78</v>
      </c>
      <c r="BX27" s="31">
        <f t="shared" si="10"/>
        <v>79</v>
      </c>
      <c r="BY27" s="31">
        <f t="shared" si="10"/>
        <v>80</v>
      </c>
      <c r="BZ27" s="31">
        <f t="shared" si="10"/>
        <v>81</v>
      </c>
      <c r="CA27" s="31">
        <f t="shared" si="10"/>
        <v>82</v>
      </c>
      <c r="CB27" s="31">
        <f t="shared" si="10"/>
        <v>83</v>
      </c>
      <c r="CC27" s="31">
        <f t="shared" si="10"/>
        <v>84</v>
      </c>
      <c r="CD27" s="31">
        <f t="shared" si="10"/>
        <v>85</v>
      </c>
      <c r="CE27" s="31">
        <f t="shared" si="10"/>
        <v>86</v>
      </c>
      <c r="CF27" s="31">
        <f t="shared" si="10"/>
        <v>87</v>
      </c>
      <c r="CG27" s="31">
        <f t="shared" si="10"/>
        <v>88</v>
      </c>
      <c r="CH27" s="31">
        <f t="shared" si="10"/>
        <v>89</v>
      </c>
      <c r="CI27" s="31">
        <f t="shared" si="10"/>
        <v>90</v>
      </c>
      <c r="CJ27" s="31">
        <f t="shared" si="10"/>
        <v>91</v>
      </c>
    </row>
    <row r="28" spans="1:88">
      <c r="A28" s="135" t="s">
        <v>21</v>
      </c>
      <c r="B28" s="32">
        <v>0</v>
      </c>
      <c r="C28" s="32">
        <v>125</v>
      </c>
      <c r="D28" s="32">
        <v>0</v>
      </c>
      <c r="E28" s="32">
        <v>60</v>
      </c>
      <c r="F28" s="32">
        <v>0</v>
      </c>
      <c r="G28" s="32">
        <v>17</v>
      </c>
      <c r="H28" s="32">
        <v>50</v>
      </c>
      <c r="I28" s="32">
        <v>0</v>
      </c>
      <c r="J28" s="32">
        <v>0</v>
      </c>
      <c r="K28" s="32">
        <v>0</v>
      </c>
      <c r="L28" s="32">
        <v>0</v>
      </c>
      <c r="M28" s="32">
        <v>0</v>
      </c>
      <c r="N28" s="32">
        <v>0</v>
      </c>
      <c r="O28" s="32">
        <v>0</v>
      </c>
      <c r="P28" s="32">
        <v>0</v>
      </c>
      <c r="Q28" s="32">
        <v>0</v>
      </c>
      <c r="R28" s="32">
        <v>1</v>
      </c>
      <c r="S28" s="32">
        <v>0</v>
      </c>
      <c r="T28" s="32">
        <v>0</v>
      </c>
      <c r="U28" s="32">
        <v>0</v>
      </c>
      <c r="V28" s="32">
        <v>0</v>
      </c>
      <c r="W28" s="32">
        <v>0</v>
      </c>
      <c r="X28" s="32">
        <v>2</v>
      </c>
      <c r="Y28" s="32">
        <v>0</v>
      </c>
      <c r="Z28" s="32">
        <v>0</v>
      </c>
      <c r="AA28" s="32">
        <v>0</v>
      </c>
      <c r="AB28" s="32">
        <v>0</v>
      </c>
      <c r="AC28" s="32">
        <v>0</v>
      </c>
      <c r="AD28" s="32">
        <v>0</v>
      </c>
      <c r="AE28" s="32">
        <v>0</v>
      </c>
      <c r="AF28" s="32">
        <v>0</v>
      </c>
      <c r="AG28" s="32">
        <v>0</v>
      </c>
      <c r="AH28" s="32">
        <v>1</v>
      </c>
      <c r="AI28" s="32">
        <v>0</v>
      </c>
      <c r="AJ28" s="32">
        <v>0</v>
      </c>
      <c r="AK28" s="32">
        <v>0</v>
      </c>
      <c r="AL28" s="32">
        <v>0</v>
      </c>
      <c r="AM28" s="32">
        <v>0</v>
      </c>
      <c r="AN28" s="32">
        <v>0</v>
      </c>
      <c r="AO28" s="32">
        <v>0</v>
      </c>
      <c r="AP28" s="32">
        <v>0</v>
      </c>
      <c r="AQ28" s="32">
        <v>0</v>
      </c>
      <c r="AR28" s="32">
        <v>0</v>
      </c>
      <c r="AS28" s="32">
        <v>0</v>
      </c>
      <c r="AT28" s="32">
        <v>0</v>
      </c>
      <c r="AU28" s="32">
        <v>0</v>
      </c>
      <c r="AV28" s="32">
        <v>0</v>
      </c>
      <c r="AW28" s="32">
        <v>0</v>
      </c>
      <c r="AX28" s="32">
        <v>0</v>
      </c>
      <c r="AY28" s="32">
        <v>0</v>
      </c>
      <c r="AZ28" s="32">
        <v>0</v>
      </c>
      <c r="BA28" s="32">
        <v>0</v>
      </c>
      <c r="BB28" s="32">
        <v>0</v>
      </c>
      <c r="BC28" s="32">
        <v>0</v>
      </c>
      <c r="BD28" s="32">
        <v>0</v>
      </c>
      <c r="BE28" s="32">
        <v>0</v>
      </c>
      <c r="BF28" s="32">
        <v>0</v>
      </c>
      <c r="BG28" s="32">
        <v>0</v>
      </c>
      <c r="BH28" s="32">
        <v>0</v>
      </c>
      <c r="BI28" s="32">
        <v>0</v>
      </c>
      <c r="BJ28" s="32">
        <v>0</v>
      </c>
      <c r="BK28" s="32">
        <v>0</v>
      </c>
      <c r="BL28" s="32">
        <v>0</v>
      </c>
      <c r="BM28" s="32">
        <v>0</v>
      </c>
      <c r="BN28" s="32">
        <v>0</v>
      </c>
      <c r="BO28" s="32">
        <v>0</v>
      </c>
      <c r="BP28" s="32">
        <v>0</v>
      </c>
      <c r="BQ28" s="32">
        <v>0</v>
      </c>
      <c r="BR28" s="32">
        <v>0</v>
      </c>
      <c r="BS28" s="32">
        <v>0</v>
      </c>
      <c r="BT28" s="32">
        <v>0</v>
      </c>
      <c r="BU28" s="32">
        <v>0</v>
      </c>
      <c r="BV28" s="32">
        <v>0</v>
      </c>
      <c r="BW28" s="32">
        <v>0</v>
      </c>
      <c r="BX28" s="32">
        <v>0</v>
      </c>
      <c r="BY28" s="32">
        <v>0</v>
      </c>
      <c r="BZ28" s="32">
        <v>0</v>
      </c>
      <c r="CA28" s="32">
        <v>0</v>
      </c>
      <c r="CB28" s="32">
        <v>0</v>
      </c>
      <c r="CC28" s="32">
        <v>0</v>
      </c>
      <c r="CD28" s="32">
        <v>0</v>
      </c>
      <c r="CE28" s="32">
        <v>0</v>
      </c>
      <c r="CF28" s="32">
        <v>0</v>
      </c>
      <c r="CG28" s="32">
        <v>0</v>
      </c>
      <c r="CH28" s="32">
        <v>0</v>
      </c>
      <c r="CI28" s="32">
        <v>0</v>
      </c>
      <c r="CJ28" s="32">
        <v>0</v>
      </c>
    </row>
    <row r="29" spans="1:88" hidden="1">
      <c r="A29" s="136"/>
      <c r="B29" s="39" t="str">
        <f ca="1">DEC2HEX(B28,INDIRECT("'parameters recipe'!$C"&amp;B$27))</f>
        <v>0</v>
      </c>
      <c r="C29" s="39" t="e">
        <f t="shared" ref="C29:L29" ca="1" si="11">DEC2HEX(C28,INDIRECT("'parameters recipe'!$C"&amp;C$27))</f>
        <v>#NUM!</v>
      </c>
      <c r="D29" s="39" t="str">
        <f t="shared" ca="1" si="11"/>
        <v>0</v>
      </c>
      <c r="E29" s="39" t="e">
        <f t="shared" ca="1" si="11"/>
        <v>#NUM!</v>
      </c>
      <c r="F29" s="39" t="str">
        <f t="shared" ca="1" si="11"/>
        <v>0</v>
      </c>
      <c r="G29" s="39" t="e">
        <f t="shared" ca="1" si="11"/>
        <v>#NUM!</v>
      </c>
      <c r="H29" s="39" t="e">
        <f t="shared" ca="1" si="11"/>
        <v>#NUM!</v>
      </c>
      <c r="I29" s="39" t="e">
        <f t="shared" ca="1" si="11"/>
        <v>#NUM!</v>
      </c>
      <c r="J29" s="39" t="str">
        <f t="shared" ca="1" si="11"/>
        <v>0</v>
      </c>
      <c r="K29" s="39" t="e">
        <f t="shared" ca="1" si="11"/>
        <v>#NUM!</v>
      </c>
      <c r="L29" s="39" t="str">
        <f t="shared" ca="1" si="11"/>
        <v>0</v>
      </c>
      <c r="M29" s="123" t="str">
        <f>BIN2HEX(CONCATENATE(M28,N28,O28,P28,Q28,R28,S28,T28),2)</f>
        <v>04</v>
      </c>
      <c r="N29" s="124"/>
      <c r="O29" s="124"/>
      <c r="P29" s="124"/>
      <c r="Q29" s="124"/>
      <c r="R29" s="124"/>
      <c r="S29" s="124"/>
      <c r="T29" s="125"/>
      <c r="U29" s="39" t="e">
        <f t="shared" ref="U29:X29" ca="1" si="12">DEC2HEX(U28,INDIRECT("'parameters recipe'!$C"&amp;U$27))</f>
        <v>#NUM!</v>
      </c>
      <c r="V29" s="39" t="e">
        <f t="shared" ca="1" si="12"/>
        <v>#NUM!</v>
      </c>
      <c r="W29" s="39" t="e">
        <f t="shared" ca="1" si="12"/>
        <v>#NUM!</v>
      </c>
      <c r="X29" s="39" t="e">
        <f t="shared" ca="1" si="12"/>
        <v>#NUM!</v>
      </c>
      <c r="Y29" s="123" t="str">
        <f>BIN2HEX(CONCATENATE(Y28,Z28,AA28,AB28,AC28,AD28,AE28,AF28),2)</f>
        <v>00</v>
      </c>
      <c r="Z29" s="124"/>
      <c r="AA29" s="124"/>
      <c r="AB29" s="124"/>
      <c r="AC29" s="124"/>
      <c r="AD29" s="124"/>
      <c r="AE29" s="124"/>
      <c r="AF29" s="125"/>
      <c r="AG29" s="123" t="str">
        <f>BIN2HEX(CONCATENATE(AG28,AH28,AI28,AJ28,AK28,AL28,AM28,AN28),2)</f>
        <v>40</v>
      </c>
      <c r="AH29" s="124"/>
      <c r="AI29" s="124"/>
      <c r="AJ29" s="124"/>
      <c r="AK29" s="124"/>
      <c r="AL29" s="124"/>
      <c r="AM29" s="124"/>
      <c r="AN29" s="125"/>
      <c r="AO29" s="123" t="str">
        <f>BIN2HEX(CONCATENATE(AO28,AP28,AQ28,AR28,AS28,AT28,AU28,AV28),2)</f>
        <v>00</v>
      </c>
      <c r="AP29" s="124"/>
      <c r="AQ29" s="124"/>
      <c r="AR29" s="124"/>
      <c r="AS29" s="124"/>
      <c r="AT29" s="124"/>
      <c r="AU29" s="124"/>
      <c r="AV29" s="125"/>
      <c r="AW29" s="123" t="str">
        <f>BIN2HEX(CONCATENATE(AW28,AX28,AY28,AZ28,BA28,BB28,BC28,BD28),2)</f>
        <v>00</v>
      </c>
      <c r="AX29" s="124"/>
      <c r="AY29" s="124"/>
      <c r="AZ29" s="124"/>
      <c r="BA29" s="124"/>
      <c r="BB29" s="124"/>
      <c r="BC29" s="124"/>
      <c r="BD29" s="125"/>
      <c r="BE29" s="123" t="str">
        <f>BIN2HEX(CONCATENATE(BE28,BF28,BG28,BH28,BI28,BJ28,BK28,BL28),2)</f>
        <v>00</v>
      </c>
      <c r="BF29" s="124"/>
      <c r="BG29" s="124"/>
      <c r="BH29" s="124"/>
      <c r="BI29" s="124"/>
      <c r="BJ29" s="124"/>
      <c r="BK29" s="124"/>
      <c r="BL29" s="125"/>
      <c r="BM29" s="123" t="str">
        <f>BIN2HEX(CONCATENATE(BM28,BN28,BO28,BP28,BQ28,BR28,BS28,BT28),2)</f>
        <v>00</v>
      </c>
      <c r="BN29" s="124"/>
      <c r="BO29" s="124"/>
      <c r="BP29" s="124"/>
      <c r="BQ29" s="124"/>
      <c r="BR29" s="124"/>
      <c r="BS29" s="124"/>
      <c r="BT29" s="125"/>
      <c r="BU29" s="123" t="str">
        <f>BIN2HEX(CONCATENATE(BU28,BV28,BW28,BX28,BY28,BZ28,CA28,CB28),2)</f>
        <v>00</v>
      </c>
      <c r="BV29" s="124"/>
      <c r="BW29" s="124"/>
      <c r="BX29" s="124"/>
      <c r="BY29" s="124"/>
      <c r="BZ29" s="124"/>
      <c r="CA29" s="124"/>
      <c r="CB29" s="125"/>
      <c r="CC29" s="123" t="str">
        <f>BIN2HEX(CONCATENATE(CC28,CD28,CE28,CF28,CG28,CH28,CI28,CJ28),2)</f>
        <v>00</v>
      </c>
      <c r="CD29" s="124"/>
      <c r="CE29" s="124"/>
      <c r="CF29" s="124"/>
      <c r="CG29" s="124"/>
      <c r="CH29" s="124"/>
      <c r="CI29" s="124"/>
      <c r="CJ29" s="125"/>
    </row>
    <row r="30" spans="1:88">
      <c r="A30" s="135" t="s">
        <v>11</v>
      </c>
      <c r="B30" s="32">
        <v>0</v>
      </c>
      <c r="C30" s="32">
        <v>0</v>
      </c>
      <c r="D30" s="32">
        <v>0</v>
      </c>
      <c r="E30" s="32">
        <v>0</v>
      </c>
      <c r="F30" s="32">
        <v>0</v>
      </c>
      <c r="G30" s="32">
        <v>0</v>
      </c>
      <c r="H30" s="32">
        <v>0</v>
      </c>
      <c r="I30" s="32">
        <v>0</v>
      </c>
      <c r="J30" s="32">
        <v>0</v>
      </c>
      <c r="K30" s="32">
        <v>0</v>
      </c>
      <c r="L30" s="32">
        <v>0</v>
      </c>
      <c r="M30" s="32">
        <v>0</v>
      </c>
      <c r="N30" s="32">
        <v>0</v>
      </c>
      <c r="O30" s="32">
        <v>0</v>
      </c>
      <c r="P30" s="32">
        <v>0</v>
      </c>
      <c r="Q30" s="32">
        <v>0</v>
      </c>
      <c r="R30" s="32">
        <v>0</v>
      </c>
      <c r="S30" s="32">
        <v>0</v>
      </c>
      <c r="T30" s="32">
        <v>0</v>
      </c>
      <c r="U30" s="32">
        <v>0</v>
      </c>
      <c r="V30" s="32">
        <v>0</v>
      </c>
      <c r="W30" s="32">
        <v>0</v>
      </c>
      <c r="X30" s="32">
        <v>0</v>
      </c>
      <c r="Y30" s="32">
        <v>0</v>
      </c>
      <c r="Z30" s="32">
        <v>0</v>
      </c>
      <c r="AA30" s="32">
        <v>0</v>
      </c>
      <c r="AB30" s="32">
        <v>0</v>
      </c>
      <c r="AC30" s="32">
        <v>0</v>
      </c>
      <c r="AD30" s="32">
        <v>0</v>
      </c>
      <c r="AE30" s="32">
        <v>0</v>
      </c>
      <c r="AF30" s="32">
        <v>0</v>
      </c>
      <c r="AG30" s="32">
        <v>0</v>
      </c>
      <c r="AH30" s="32">
        <v>0</v>
      </c>
      <c r="AI30" s="32">
        <v>0</v>
      </c>
      <c r="AJ30" s="32">
        <v>0</v>
      </c>
      <c r="AK30" s="32">
        <v>0</v>
      </c>
      <c r="AL30" s="32">
        <v>0</v>
      </c>
      <c r="AM30" s="32">
        <v>0</v>
      </c>
      <c r="AN30" s="32">
        <v>0</v>
      </c>
      <c r="AO30" s="32">
        <v>0</v>
      </c>
      <c r="AP30" s="32">
        <v>0</v>
      </c>
      <c r="AQ30" s="32">
        <v>0</v>
      </c>
      <c r="AR30" s="32">
        <v>0</v>
      </c>
      <c r="AS30" s="32">
        <v>0</v>
      </c>
      <c r="AT30" s="32">
        <v>0</v>
      </c>
      <c r="AU30" s="32">
        <v>0</v>
      </c>
      <c r="AV30" s="32">
        <v>0</v>
      </c>
      <c r="AW30" s="32">
        <v>0</v>
      </c>
      <c r="AX30" s="32">
        <v>0</v>
      </c>
      <c r="AY30" s="32">
        <v>0</v>
      </c>
      <c r="AZ30" s="32">
        <v>0</v>
      </c>
      <c r="BA30" s="32">
        <v>0</v>
      </c>
      <c r="BB30" s="32">
        <v>0</v>
      </c>
      <c r="BC30" s="32">
        <v>0</v>
      </c>
      <c r="BD30" s="32">
        <v>0</v>
      </c>
      <c r="BE30" s="32">
        <v>0</v>
      </c>
      <c r="BF30" s="32">
        <v>0</v>
      </c>
      <c r="BG30" s="32">
        <v>0</v>
      </c>
      <c r="BH30" s="32">
        <v>0</v>
      </c>
      <c r="BI30" s="32">
        <v>0</v>
      </c>
      <c r="BJ30" s="32">
        <v>0</v>
      </c>
      <c r="BK30" s="32">
        <v>0</v>
      </c>
      <c r="BL30" s="32">
        <v>0</v>
      </c>
      <c r="BM30" s="32">
        <v>0</v>
      </c>
      <c r="BN30" s="32">
        <v>0</v>
      </c>
      <c r="BO30" s="32">
        <v>0</v>
      </c>
      <c r="BP30" s="32">
        <v>0</v>
      </c>
      <c r="BQ30" s="32">
        <v>0</v>
      </c>
      <c r="BR30" s="32">
        <v>0</v>
      </c>
      <c r="BS30" s="32">
        <v>0</v>
      </c>
      <c r="BT30" s="32">
        <v>0</v>
      </c>
      <c r="BU30" s="32">
        <v>0</v>
      </c>
      <c r="BV30" s="32">
        <v>0</v>
      </c>
      <c r="BW30" s="32">
        <v>0</v>
      </c>
      <c r="BX30" s="32">
        <v>0</v>
      </c>
      <c r="BY30" s="32">
        <v>0</v>
      </c>
      <c r="BZ30" s="32">
        <v>0</v>
      </c>
      <c r="CA30" s="32">
        <v>0</v>
      </c>
      <c r="CB30" s="32">
        <v>0</v>
      </c>
      <c r="CC30" s="32">
        <v>0</v>
      </c>
      <c r="CD30" s="32">
        <v>0</v>
      </c>
      <c r="CE30" s="32">
        <v>0</v>
      </c>
      <c r="CF30" s="32">
        <v>0</v>
      </c>
      <c r="CG30" s="32">
        <v>0</v>
      </c>
      <c r="CH30" s="32">
        <v>0</v>
      </c>
      <c r="CI30" s="32">
        <v>0</v>
      </c>
      <c r="CJ30" s="32">
        <v>0</v>
      </c>
    </row>
    <row r="31" spans="1:88" hidden="1">
      <c r="A31" s="136"/>
      <c r="B31" s="39" t="str">
        <f ca="1">DEC2HEX(B30,INDIRECT("'parameters recipe'!$C"&amp;B$27))</f>
        <v>0</v>
      </c>
      <c r="C31" s="39" t="e">
        <f t="shared" ref="C31:L31" ca="1" si="13">DEC2HEX(C30,INDIRECT("'parameters recipe'!$C"&amp;C$27))</f>
        <v>#NUM!</v>
      </c>
      <c r="D31" s="39" t="str">
        <f t="shared" ca="1" si="13"/>
        <v>0</v>
      </c>
      <c r="E31" s="39" t="e">
        <f t="shared" ca="1" si="13"/>
        <v>#NUM!</v>
      </c>
      <c r="F31" s="39" t="str">
        <f t="shared" ca="1" si="13"/>
        <v>0</v>
      </c>
      <c r="G31" s="39" t="e">
        <f t="shared" ca="1" si="13"/>
        <v>#NUM!</v>
      </c>
      <c r="H31" s="39" t="str">
        <f t="shared" ca="1" si="13"/>
        <v>0</v>
      </c>
      <c r="I31" s="39" t="e">
        <f t="shared" ca="1" si="13"/>
        <v>#NUM!</v>
      </c>
      <c r="J31" s="39" t="str">
        <f t="shared" ca="1" si="13"/>
        <v>0</v>
      </c>
      <c r="K31" s="39" t="e">
        <f t="shared" ca="1" si="13"/>
        <v>#NUM!</v>
      </c>
      <c r="L31" s="39" t="str">
        <f t="shared" ca="1" si="13"/>
        <v>0</v>
      </c>
      <c r="M31" s="123" t="str">
        <f>BIN2HEX(CONCATENATE(M30,N30,O30,P30,Q30,R30,S30,T30),2)</f>
        <v>00</v>
      </c>
      <c r="N31" s="124"/>
      <c r="O31" s="124"/>
      <c r="P31" s="124"/>
      <c r="Q31" s="124"/>
      <c r="R31" s="124"/>
      <c r="S31" s="124"/>
      <c r="T31" s="125"/>
      <c r="U31" s="39" t="e">
        <f t="shared" ref="U31:X31" ca="1" si="14">DEC2HEX(U30,INDIRECT("'parameters recipe'!$C"&amp;U$27))</f>
        <v>#NUM!</v>
      </c>
      <c r="V31" s="39" t="e">
        <f t="shared" ca="1" si="14"/>
        <v>#NUM!</v>
      </c>
      <c r="W31" s="39" t="e">
        <f t="shared" ca="1" si="14"/>
        <v>#NUM!</v>
      </c>
      <c r="X31" s="39" t="e">
        <f t="shared" ca="1" si="14"/>
        <v>#NUM!</v>
      </c>
      <c r="Y31" s="123" t="str">
        <f>BIN2HEX(CONCATENATE(Y30,Z30,AA30,AB30,AC30,AD30,AE30,AF30),2)</f>
        <v>00</v>
      </c>
      <c r="Z31" s="124"/>
      <c r="AA31" s="124"/>
      <c r="AB31" s="124"/>
      <c r="AC31" s="124"/>
      <c r="AD31" s="124"/>
      <c r="AE31" s="124"/>
      <c r="AF31" s="125"/>
      <c r="AG31" s="123" t="str">
        <f>BIN2HEX(CONCATENATE(AG30,AH30,AI30,AJ30,AK30,AL30,AM30,AN30),2)</f>
        <v>00</v>
      </c>
      <c r="AH31" s="124"/>
      <c r="AI31" s="124"/>
      <c r="AJ31" s="124"/>
      <c r="AK31" s="124"/>
      <c r="AL31" s="124"/>
      <c r="AM31" s="124"/>
      <c r="AN31" s="125"/>
      <c r="AO31" s="123" t="str">
        <f>BIN2HEX(CONCATENATE(AO30,AP30,AQ30,AR30,AS30,AT30,AU30,AV30),2)</f>
        <v>00</v>
      </c>
      <c r="AP31" s="124"/>
      <c r="AQ31" s="124"/>
      <c r="AR31" s="124"/>
      <c r="AS31" s="124"/>
      <c r="AT31" s="124"/>
      <c r="AU31" s="124"/>
      <c r="AV31" s="125"/>
      <c r="AW31" s="123" t="str">
        <f>BIN2HEX(CONCATENATE(AW30,AX30,AY30,AZ30,BA30,BB30,BC30,BD30),2)</f>
        <v>00</v>
      </c>
      <c r="AX31" s="124"/>
      <c r="AY31" s="124"/>
      <c r="AZ31" s="124"/>
      <c r="BA31" s="124"/>
      <c r="BB31" s="124"/>
      <c r="BC31" s="124"/>
      <c r="BD31" s="125"/>
      <c r="BE31" s="123" t="str">
        <f>BIN2HEX(CONCATENATE(BE30,BF30,BG30,BH30,BI30,BJ30,BK30,BL30),2)</f>
        <v>00</v>
      </c>
      <c r="BF31" s="124"/>
      <c r="BG31" s="124"/>
      <c r="BH31" s="124"/>
      <c r="BI31" s="124"/>
      <c r="BJ31" s="124"/>
      <c r="BK31" s="124"/>
      <c r="BL31" s="125"/>
      <c r="BM31" s="123" t="str">
        <f>BIN2HEX(CONCATENATE(BM30,BN30,BO30,BP30,BQ30,BR30,BS30,BT30),2)</f>
        <v>00</v>
      </c>
      <c r="BN31" s="124"/>
      <c r="BO31" s="124"/>
      <c r="BP31" s="124"/>
      <c r="BQ31" s="124"/>
      <c r="BR31" s="124"/>
      <c r="BS31" s="124"/>
      <c r="BT31" s="125"/>
      <c r="BU31" s="123" t="str">
        <f>BIN2HEX(CONCATENATE(BU30,BV30,BW30,BX30,BY30,BZ30,CA30,CB30),2)</f>
        <v>00</v>
      </c>
      <c r="BV31" s="124"/>
      <c r="BW31" s="124"/>
      <c r="BX31" s="124"/>
      <c r="BY31" s="124"/>
      <c r="BZ31" s="124"/>
      <c r="CA31" s="124"/>
      <c r="CB31" s="125"/>
      <c r="CC31" s="123" t="str">
        <f>BIN2HEX(CONCATENATE(CC30,CD30,CE30,CF30,CG30,CH30,CI30,CJ30),2)</f>
        <v>00</v>
      </c>
      <c r="CD31" s="124"/>
      <c r="CE31" s="124"/>
      <c r="CF31" s="124"/>
      <c r="CG31" s="124"/>
      <c r="CH31" s="124"/>
      <c r="CI31" s="124"/>
      <c r="CJ31" s="125"/>
    </row>
    <row r="32" spans="1:88">
      <c r="A32" s="135" t="s">
        <v>12</v>
      </c>
      <c r="B32" s="32">
        <v>0</v>
      </c>
      <c r="C32" s="32">
        <v>0</v>
      </c>
      <c r="D32" s="32">
        <v>0</v>
      </c>
      <c r="E32" s="32">
        <v>0</v>
      </c>
      <c r="F32" s="32">
        <v>0</v>
      </c>
      <c r="G32" s="32">
        <v>0</v>
      </c>
      <c r="H32" s="32">
        <v>0</v>
      </c>
      <c r="I32" s="32">
        <v>0</v>
      </c>
      <c r="J32" s="32">
        <v>0</v>
      </c>
      <c r="K32" s="32">
        <v>0</v>
      </c>
      <c r="L32" s="32">
        <v>0</v>
      </c>
      <c r="M32" s="32">
        <v>0</v>
      </c>
      <c r="N32" s="32">
        <v>0</v>
      </c>
      <c r="O32" s="32">
        <v>0</v>
      </c>
      <c r="P32" s="32">
        <v>0</v>
      </c>
      <c r="Q32" s="32">
        <v>0</v>
      </c>
      <c r="R32" s="32">
        <v>0</v>
      </c>
      <c r="S32" s="32">
        <v>0</v>
      </c>
      <c r="T32" s="32">
        <v>0</v>
      </c>
      <c r="U32" s="32">
        <v>0</v>
      </c>
      <c r="V32" s="32">
        <v>0</v>
      </c>
      <c r="W32" s="32">
        <v>0</v>
      </c>
      <c r="X32" s="32">
        <v>0</v>
      </c>
      <c r="Y32" s="32">
        <v>0</v>
      </c>
      <c r="Z32" s="32">
        <v>0</v>
      </c>
      <c r="AA32" s="32">
        <v>0</v>
      </c>
      <c r="AB32" s="32">
        <v>0</v>
      </c>
      <c r="AC32" s="32">
        <v>0</v>
      </c>
      <c r="AD32" s="32">
        <v>0</v>
      </c>
      <c r="AE32" s="32">
        <v>0</v>
      </c>
      <c r="AF32" s="32">
        <v>0</v>
      </c>
      <c r="AG32" s="32">
        <v>0</v>
      </c>
      <c r="AH32" s="32">
        <v>0</v>
      </c>
      <c r="AI32" s="32">
        <v>0</v>
      </c>
      <c r="AJ32" s="32">
        <v>0</v>
      </c>
      <c r="AK32" s="32">
        <v>0</v>
      </c>
      <c r="AL32" s="32">
        <v>0</v>
      </c>
      <c r="AM32" s="32">
        <v>0</v>
      </c>
      <c r="AN32" s="32">
        <v>0</v>
      </c>
      <c r="AO32" s="32">
        <v>0</v>
      </c>
      <c r="AP32" s="32">
        <v>0</v>
      </c>
      <c r="AQ32" s="32">
        <v>0</v>
      </c>
      <c r="AR32" s="32">
        <v>0</v>
      </c>
      <c r="AS32" s="32">
        <v>0</v>
      </c>
      <c r="AT32" s="32">
        <v>0</v>
      </c>
      <c r="AU32" s="32">
        <v>0</v>
      </c>
      <c r="AV32" s="32">
        <v>0</v>
      </c>
      <c r="AW32" s="32">
        <v>0</v>
      </c>
      <c r="AX32" s="32">
        <v>0</v>
      </c>
      <c r="AY32" s="32">
        <v>0</v>
      </c>
      <c r="AZ32" s="32">
        <v>0</v>
      </c>
      <c r="BA32" s="32">
        <v>0</v>
      </c>
      <c r="BB32" s="32">
        <v>0</v>
      </c>
      <c r="BC32" s="32">
        <v>0</v>
      </c>
      <c r="BD32" s="32">
        <v>0</v>
      </c>
      <c r="BE32" s="32">
        <v>0</v>
      </c>
      <c r="BF32" s="32">
        <v>0</v>
      </c>
      <c r="BG32" s="32">
        <v>0</v>
      </c>
      <c r="BH32" s="32">
        <v>0</v>
      </c>
      <c r="BI32" s="32">
        <v>0</v>
      </c>
      <c r="BJ32" s="32">
        <v>0</v>
      </c>
      <c r="BK32" s="32">
        <v>0</v>
      </c>
      <c r="BL32" s="32">
        <v>0</v>
      </c>
      <c r="BM32" s="32">
        <v>0</v>
      </c>
      <c r="BN32" s="32">
        <v>0</v>
      </c>
      <c r="BO32" s="32">
        <v>0</v>
      </c>
      <c r="BP32" s="32">
        <v>0</v>
      </c>
      <c r="BQ32" s="32">
        <v>0</v>
      </c>
      <c r="BR32" s="32">
        <v>0</v>
      </c>
      <c r="BS32" s="32">
        <v>0</v>
      </c>
      <c r="BT32" s="32">
        <v>0</v>
      </c>
      <c r="BU32" s="32">
        <v>0</v>
      </c>
      <c r="BV32" s="32">
        <v>0</v>
      </c>
      <c r="BW32" s="32">
        <v>0</v>
      </c>
      <c r="BX32" s="32">
        <v>0</v>
      </c>
      <c r="BY32" s="32">
        <v>0</v>
      </c>
      <c r="BZ32" s="32">
        <v>0</v>
      </c>
      <c r="CA32" s="32">
        <v>0</v>
      </c>
      <c r="CB32" s="32">
        <v>0</v>
      </c>
      <c r="CC32" s="32">
        <v>0</v>
      </c>
      <c r="CD32" s="32">
        <v>0</v>
      </c>
      <c r="CE32" s="32">
        <v>0</v>
      </c>
      <c r="CF32" s="32">
        <v>0</v>
      </c>
      <c r="CG32" s="32">
        <v>0</v>
      </c>
      <c r="CH32" s="32">
        <v>0</v>
      </c>
      <c r="CI32" s="32">
        <v>0</v>
      </c>
      <c r="CJ32" s="32">
        <v>0</v>
      </c>
    </row>
    <row r="33" spans="1:88" hidden="1">
      <c r="A33" s="136"/>
      <c r="B33" s="39" t="str">
        <f ca="1">DEC2HEX(B32,INDIRECT("'parameters recipe'!$C"&amp;B$27))</f>
        <v>0</v>
      </c>
      <c r="C33" s="39" t="e">
        <f t="shared" ref="C33:L33" ca="1" si="15">DEC2HEX(C32,INDIRECT("'parameters recipe'!$C"&amp;C$27))</f>
        <v>#NUM!</v>
      </c>
      <c r="D33" s="39" t="str">
        <f t="shared" ca="1" si="15"/>
        <v>0</v>
      </c>
      <c r="E33" s="39" t="e">
        <f t="shared" ca="1" si="15"/>
        <v>#NUM!</v>
      </c>
      <c r="F33" s="39" t="str">
        <f t="shared" ca="1" si="15"/>
        <v>0</v>
      </c>
      <c r="G33" s="39" t="e">
        <f t="shared" ca="1" si="15"/>
        <v>#NUM!</v>
      </c>
      <c r="H33" s="39" t="str">
        <f t="shared" ca="1" si="15"/>
        <v>0</v>
      </c>
      <c r="I33" s="39" t="e">
        <f t="shared" ca="1" si="15"/>
        <v>#NUM!</v>
      </c>
      <c r="J33" s="39" t="str">
        <f t="shared" ca="1" si="15"/>
        <v>0</v>
      </c>
      <c r="K33" s="39" t="e">
        <f t="shared" ca="1" si="15"/>
        <v>#NUM!</v>
      </c>
      <c r="L33" s="39" t="str">
        <f t="shared" ca="1" si="15"/>
        <v>0</v>
      </c>
      <c r="M33" s="123" t="str">
        <f>BIN2HEX(CONCATENATE(M32,N32,O32,P32,Q32,R32,S32,T32),2)</f>
        <v>00</v>
      </c>
      <c r="N33" s="124"/>
      <c r="O33" s="124"/>
      <c r="P33" s="124"/>
      <c r="Q33" s="124"/>
      <c r="R33" s="124"/>
      <c r="S33" s="124"/>
      <c r="T33" s="125"/>
      <c r="U33" s="39" t="e">
        <f t="shared" ref="U33:X33" ca="1" si="16">DEC2HEX(U32,INDIRECT("'parameters recipe'!$C"&amp;U$27))</f>
        <v>#NUM!</v>
      </c>
      <c r="V33" s="39" t="e">
        <f t="shared" ca="1" si="16"/>
        <v>#NUM!</v>
      </c>
      <c r="W33" s="39" t="e">
        <f t="shared" ca="1" si="16"/>
        <v>#NUM!</v>
      </c>
      <c r="X33" s="39" t="e">
        <f t="shared" ca="1" si="16"/>
        <v>#NUM!</v>
      </c>
      <c r="Y33" s="123" t="str">
        <f>BIN2HEX(CONCATENATE(Y32,Z32,AA32,AB32,AC32,AD32,AE32,AF32),2)</f>
        <v>00</v>
      </c>
      <c r="Z33" s="124"/>
      <c r="AA33" s="124"/>
      <c r="AB33" s="124"/>
      <c r="AC33" s="124"/>
      <c r="AD33" s="124"/>
      <c r="AE33" s="124"/>
      <c r="AF33" s="125"/>
      <c r="AG33" s="123" t="str">
        <f>BIN2HEX(CONCATENATE(AG32,AH32,AI32,AJ32,AK32,AL32,AM32,AN32),2)</f>
        <v>00</v>
      </c>
      <c r="AH33" s="124"/>
      <c r="AI33" s="124"/>
      <c r="AJ33" s="124"/>
      <c r="AK33" s="124"/>
      <c r="AL33" s="124"/>
      <c r="AM33" s="124"/>
      <c r="AN33" s="125"/>
      <c r="AO33" s="123" t="str">
        <f>BIN2HEX(CONCATENATE(AO32,AP32,AQ32,AR32,AS32,AT32,AU32,AV32),2)</f>
        <v>00</v>
      </c>
      <c r="AP33" s="124"/>
      <c r="AQ33" s="124"/>
      <c r="AR33" s="124"/>
      <c r="AS33" s="124"/>
      <c r="AT33" s="124"/>
      <c r="AU33" s="124"/>
      <c r="AV33" s="125"/>
      <c r="AW33" s="123" t="str">
        <f>BIN2HEX(CONCATENATE(AW32,AX32,AY32,AZ32,BA32,BB32,BC32,BD32),2)</f>
        <v>00</v>
      </c>
      <c r="AX33" s="124"/>
      <c r="AY33" s="124"/>
      <c r="AZ33" s="124"/>
      <c r="BA33" s="124"/>
      <c r="BB33" s="124"/>
      <c r="BC33" s="124"/>
      <c r="BD33" s="125"/>
      <c r="BE33" s="123" t="str">
        <f>BIN2HEX(CONCATENATE(BE32,BF32,BG32,BH32,BI32,BJ32,BK32,BL32),2)</f>
        <v>00</v>
      </c>
      <c r="BF33" s="124"/>
      <c r="BG33" s="124"/>
      <c r="BH33" s="124"/>
      <c r="BI33" s="124"/>
      <c r="BJ33" s="124"/>
      <c r="BK33" s="124"/>
      <c r="BL33" s="125"/>
      <c r="BM33" s="123" t="str">
        <f>BIN2HEX(CONCATENATE(BM32,BN32,BO32,BP32,BQ32,BR32,BS32,BT32),2)</f>
        <v>00</v>
      </c>
      <c r="BN33" s="124"/>
      <c r="BO33" s="124"/>
      <c r="BP33" s="124"/>
      <c r="BQ33" s="124"/>
      <c r="BR33" s="124"/>
      <c r="BS33" s="124"/>
      <c r="BT33" s="125"/>
      <c r="BU33" s="123" t="str">
        <f>BIN2HEX(CONCATENATE(BU32,BV32,BW32,BX32,BY32,BZ32,CA32,CB32),2)</f>
        <v>00</v>
      </c>
      <c r="BV33" s="124"/>
      <c r="BW33" s="124"/>
      <c r="BX33" s="124"/>
      <c r="BY33" s="124"/>
      <c r="BZ33" s="124"/>
      <c r="CA33" s="124"/>
      <c r="CB33" s="125"/>
      <c r="CC33" s="123" t="str">
        <f>BIN2HEX(CONCATENATE(CC32,CD32,CE32,CF32,CG32,CH32,CI32,CJ32),2)</f>
        <v>00</v>
      </c>
      <c r="CD33" s="124"/>
      <c r="CE33" s="124"/>
      <c r="CF33" s="124"/>
      <c r="CG33" s="124"/>
      <c r="CH33" s="124"/>
      <c r="CI33" s="124"/>
      <c r="CJ33" s="125"/>
    </row>
    <row r="34" spans="1:88">
      <c r="A34" s="135" t="s">
        <v>13</v>
      </c>
      <c r="B34" s="32">
        <v>0</v>
      </c>
      <c r="C34" s="32">
        <v>0</v>
      </c>
      <c r="D34" s="32">
        <v>0</v>
      </c>
      <c r="E34" s="32">
        <v>0</v>
      </c>
      <c r="F34" s="32">
        <v>0</v>
      </c>
      <c r="G34" s="32">
        <v>0</v>
      </c>
      <c r="H34" s="32">
        <v>0</v>
      </c>
      <c r="I34" s="32">
        <v>0</v>
      </c>
      <c r="J34" s="32">
        <v>0</v>
      </c>
      <c r="K34" s="32">
        <v>0</v>
      </c>
      <c r="L34" s="32">
        <v>0</v>
      </c>
      <c r="M34" s="32">
        <v>0</v>
      </c>
      <c r="N34" s="32">
        <v>0</v>
      </c>
      <c r="O34" s="32">
        <v>0</v>
      </c>
      <c r="P34" s="32">
        <v>0</v>
      </c>
      <c r="Q34" s="32">
        <v>0</v>
      </c>
      <c r="R34" s="32">
        <v>0</v>
      </c>
      <c r="S34" s="32">
        <v>0</v>
      </c>
      <c r="T34" s="32">
        <v>0</v>
      </c>
      <c r="U34" s="32">
        <v>0</v>
      </c>
      <c r="V34" s="32">
        <v>0</v>
      </c>
      <c r="W34" s="32">
        <v>0</v>
      </c>
      <c r="X34" s="32">
        <v>0</v>
      </c>
      <c r="Y34" s="32">
        <v>0</v>
      </c>
      <c r="Z34" s="32">
        <v>0</v>
      </c>
      <c r="AA34" s="32">
        <v>0</v>
      </c>
      <c r="AB34" s="32">
        <v>0</v>
      </c>
      <c r="AC34" s="32">
        <v>0</v>
      </c>
      <c r="AD34" s="32">
        <v>0</v>
      </c>
      <c r="AE34" s="32">
        <v>0</v>
      </c>
      <c r="AF34" s="32">
        <v>0</v>
      </c>
      <c r="AG34" s="32">
        <v>0</v>
      </c>
      <c r="AH34" s="32">
        <v>0</v>
      </c>
      <c r="AI34" s="32">
        <v>0</v>
      </c>
      <c r="AJ34" s="32">
        <v>0</v>
      </c>
      <c r="AK34" s="32">
        <v>0</v>
      </c>
      <c r="AL34" s="32">
        <v>0</v>
      </c>
      <c r="AM34" s="32">
        <v>0</v>
      </c>
      <c r="AN34" s="32">
        <v>0</v>
      </c>
      <c r="AO34" s="32">
        <v>0</v>
      </c>
      <c r="AP34" s="32">
        <v>0</v>
      </c>
      <c r="AQ34" s="32">
        <v>0</v>
      </c>
      <c r="AR34" s="32">
        <v>0</v>
      </c>
      <c r="AS34" s="32">
        <v>0</v>
      </c>
      <c r="AT34" s="32">
        <v>0</v>
      </c>
      <c r="AU34" s="32">
        <v>0</v>
      </c>
      <c r="AV34" s="32">
        <v>0</v>
      </c>
      <c r="AW34" s="32">
        <v>0</v>
      </c>
      <c r="AX34" s="32">
        <v>0</v>
      </c>
      <c r="AY34" s="32">
        <v>0</v>
      </c>
      <c r="AZ34" s="32">
        <v>0</v>
      </c>
      <c r="BA34" s="32">
        <v>0</v>
      </c>
      <c r="BB34" s="32">
        <v>0</v>
      </c>
      <c r="BC34" s="32">
        <v>0</v>
      </c>
      <c r="BD34" s="32">
        <v>0</v>
      </c>
      <c r="BE34" s="32">
        <v>0</v>
      </c>
      <c r="BF34" s="32">
        <v>0</v>
      </c>
      <c r="BG34" s="32">
        <v>0</v>
      </c>
      <c r="BH34" s="32">
        <v>0</v>
      </c>
      <c r="BI34" s="32">
        <v>0</v>
      </c>
      <c r="BJ34" s="32">
        <v>0</v>
      </c>
      <c r="BK34" s="32">
        <v>0</v>
      </c>
      <c r="BL34" s="32">
        <v>0</v>
      </c>
      <c r="BM34" s="32">
        <v>0</v>
      </c>
      <c r="BN34" s="32">
        <v>0</v>
      </c>
      <c r="BO34" s="32">
        <v>0</v>
      </c>
      <c r="BP34" s="32">
        <v>0</v>
      </c>
      <c r="BQ34" s="32">
        <v>0</v>
      </c>
      <c r="BR34" s="32">
        <v>0</v>
      </c>
      <c r="BS34" s="32">
        <v>0</v>
      </c>
      <c r="BT34" s="32">
        <v>0</v>
      </c>
      <c r="BU34" s="32">
        <v>0</v>
      </c>
      <c r="BV34" s="32">
        <v>0</v>
      </c>
      <c r="BW34" s="32">
        <v>0</v>
      </c>
      <c r="BX34" s="32">
        <v>0</v>
      </c>
      <c r="BY34" s="32">
        <v>0</v>
      </c>
      <c r="BZ34" s="32">
        <v>0</v>
      </c>
      <c r="CA34" s="32">
        <v>0</v>
      </c>
      <c r="CB34" s="32">
        <v>0</v>
      </c>
      <c r="CC34" s="32">
        <v>0</v>
      </c>
      <c r="CD34" s="32">
        <v>0</v>
      </c>
      <c r="CE34" s="32">
        <v>0</v>
      </c>
      <c r="CF34" s="32">
        <v>0</v>
      </c>
      <c r="CG34" s="32">
        <v>0</v>
      </c>
      <c r="CH34" s="32">
        <v>0</v>
      </c>
      <c r="CI34" s="32">
        <v>0</v>
      </c>
      <c r="CJ34" s="32">
        <v>0</v>
      </c>
    </row>
    <row r="35" spans="1:88" hidden="1">
      <c r="A35" s="136"/>
      <c r="B35" s="39" t="str">
        <f ca="1">DEC2HEX(B34,INDIRECT("'parameters recipe'!$C"&amp;B$27))</f>
        <v>0</v>
      </c>
      <c r="C35" s="39" t="e">
        <f t="shared" ref="C35:L35" ca="1" si="17">DEC2HEX(C34,INDIRECT("'parameters recipe'!$C"&amp;C$27))</f>
        <v>#NUM!</v>
      </c>
      <c r="D35" s="39" t="str">
        <f t="shared" ca="1" si="17"/>
        <v>0</v>
      </c>
      <c r="E35" s="39" t="e">
        <f t="shared" ca="1" si="17"/>
        <v>#NUM!</v>
      </c>
      <c r="F35" s="39" t="str">
        <f t="shared" ca="1" si="17"/>
        <v>0</v>
      </c>
      <c r="G35" s="39" t="e">
        <f t="shared" ca="1" si="17"/>
        <v>#NUM!</v>
      </c>
      <c r="H35" s="39" t="str">
        <f t="shared" ca="1" si="17"/>
        <v>0</v>
      </c>
      <c r="I35" s="39" t="e">
        <f t="shared" ca="1" si="17"/>
        <v>#NUM!</v>
      </c>
      <c r="J35" s="39" t="str">
        <f t="shared" ca="1" si="17"/>
        <v>0</v>
      </c>
      <c r="K35" s="39" t="e">
        <f t="shared" ca="1" si="17"/>
        <v>#NUM!</v>
      </c>
      <c r="L35" s="39" t="str">
        <f t="shared" ca="1" si="17"/>
        <v>0</v>
      </c>
      <c r="M35" s="123" t="str">
        <f>BIN2HEX(CONCATENATE(M34,N34,O34,P34,Q34,R34,S34,T34),2)</f>
        <v>00</v>
      </c>
      <c r="N35" s="124"/>
      <c r="O35" s="124"/>
      <c r="P35" s="124"/>
      <c r="Q35" s="124"/>
      <c r="R35" s="124"/>
      <c r="S35" s="124"/>
      <c r="T35" s="125"/>
      <c r="U35" s="39" t="e">
        <f t="shared" ref="U35:X35" ca="1" si="18">DEC2HEX(U34,INDIRECT("'parameters recipe'!$C"&amp;U$27))</f>
        <v>#NUM!</v>
      </c>
      <c r="V35" s="39" t="e">
        <f t="shared" ca="1" si="18"/>
        <v>#NUM!</v>
      </c>
      <c r="W35" s="39" t="e">
        <f t="shared" ca="1" si="18"/>
        <v>#NUM!</v>
      </c>
      <c r="X35" s="39" t="e">
        <f t="shared" ca="1" si="18"/>
        <v>#NUM!</v>
      </c>
      <c r="Y35" s="123" t="str">
        <f>BIN2HEX(CONCATENATE(Y34,Z34,AA34,AB34,AC34,AD34,AE34,AF34),2)</f>
        <v>00</v>
      </c>
      <c r="Z35" s="124"/>
      <c r="AA35" s="124"/>
      <c r="AB35" s="124"/>
      <c r="AC35" s="124"/>
      <c r="AD35" s="124"/>
      <c r="AE35" s="124"/>
      <c r="AF35" s="125"/>
      <c r="AG35" s="123" t="str">
        <f>BIN2HEX(CONCATENATE(AG34,AH34,AI34,AJ34,AK34,AL34,AM34,AN34),2)</f>
        <v>00</v>
      </c>
      <c r="AH35" s="124"/>
      <c r="AI35" s="124"/>
      <c r="AJ35" s="124"/>
      <c r="AK35" s="124"/>
      <c r="AL35" s="124"/>
      <c r="AM35" s="124"/>
      <c r="AN35" s="125"/>
      <c r="AO35" s="123" t="str">
        <f>BIN2HEX(CONCATENATE(AO34,AP34,AQ34,AR34,AS34,AT34,AU34,AV34),2)</f>
        <v>00</v>
      </c>
      <c r="AP35" s="124"/>
      <c r="AQ35" s="124"/>
      <c r="AR35" s="124"/>
      <c r="AS35" s="124"/>
      <c r="AT35" s="124"/>
      <c r="AU35" s="124"/>
      <c r="AV35" s="125"/>
      <c r="AW35" s="123" t="str">
        <f>BIN2HEX(CONCATENATE(AW34,AX34,AY34,AZ34,BA34,BB34,BC34,BD34),2)</f>
        <v>00</v>
      </c>
      <c r="AX35" s="124"/>
      <c r="AY35" s="124"/>
      <c r="AZ35" s="124"/>
      <c r="BA35" s="124"/>
      <c r="BB35" s="124"/>
      <c r="BC35" s="124"/>
      <c r="BD35" s="125"/>
      <c r="BE35" s="123" t="str">
        <f>BIN2HEX(CONCATENATE(BE34,BF34,BG34,BH34,BI34,BJ34,BK34,BL34),2)</f>
        <v>00</v>
      </c>
      <c r="BF35" s="124"/>
      <c r="BG35" s="124"/>
      <c r="BH35" s="124"/>
      <c r="BI35" s="124"/>
      <c r="BJ35" s="124"/>
      <c r="BK35" s="124"/>
      <c r="BL35" s="125"/>
      <c r="BM35" s="123" t="str">
        <f>BIN2HEX(CONCATENATE(BM34,BN34,BO34,BP34,BQ34,BR34,BS34,BT34),2)</f>
        <v>00</v>
      </c>
      <c r="BN35" s="124"/>
      <c r="BO35" s="124"/>
      <c r="BP35" s="124"/>
      <c r="BQ35" s="124"/>
      <c r="BR35" s="124"/>
      <c r="BS35" s="124"/>
      <c r="BT35" s="125"/>
      <c r="BU35" s="123" t="str">
        <f>BIN2HEX(CONCATENATE(BU34,BV34,BW34,BX34,BY34,BZ34,CA34,CB34),2)</f>
        <v>00</v>
      </c>
      <c r="BV35" s="124"/>
      <c r="BW35" s="124"/>
      <c r="BX35" s="124"/>
      <c r="BY35" s="124"/>
      <c r="BZ35" s="124"/>
      <c r="CA35" s="124"/>
      <c r="CB35" s="125"/>
      <c r="CC35" s="123" t="str">
        <f>BIN2HEX(CONCATENATE(CC34,CD34,CE34,CF34,CG34,CH34,CI34,CJ34),2)</f>
        <v>00</v>
      </c>
      <c r="CD35" s="124"/>
      <c r="CE35" s="124"/>
      <c r="CF35" s="124"/>
      <c r="CG35" s="124"/>
      <c r="CH35" s="124"/>
      <c r="CI35" s="124"/>
      <c r="CJ35" s="125"/>
    </row>
    <row r="36" spans="1:88">
      <c r="A36" s="135" t="s">
        <v>14</v>
      </c>
      <c r="B36" s="32">
        <v>0</v>
      </c>
      <c r="C36" s="32">
        <v>0</v>
      </c>
      <c r="D36" s="32">
        <v>0</v>
      </c>
      <c r="E36" s="32">
        <v>0</v>
      </c>
      <c r="F36" s="32">
        <v>0</v>
      </c>
      <c r="G36" s="32">
        <v>0</v>
      </c>
      <c r="H36" s="32">
        <v>0</v>
      </c>
      <c r="I36" s="32">
        <v>0</v>
      </c>
      <c r="J36" s="32">
        <v>0</v>
      </c>
      <c r="K36" s="32">
        <v>0</v>
      </c>
      <c r="L36" s="32">
        <v>0</v>
      </c>
      <c r="M36" s="32">
        <v>0</v>
      </c>
      <c r="N36" s="32">
        <v>0</v>
      </c>
      <c r="O36" s="32">
        <v>0</v>
      </c>
      <c r="P36" s="32">
        <v>0</v>
      </c>
      <c r="Q36" s="32">
        <v>0</v>
      </c>
      <c r="R36" s="32">
        <v>0</v>
      </c>
      <c r="S36" s="32">
        <v>0</v>
      </c>
      <c r="T36" s="32">
        <v>0</v>
      </c>
      <c r="U36" s="32">
        <v>0</v>
      </c>
      <c r="V36" s="32">
        <v>0</v>
      </c>
      <c r="W36" s="32">
        <v>0</v>
      </c>
      <c r="X36" s="32">
        <v>0</v>
      </c>
      <c r="Y36" s="32">
        <v>0</v>
      </c>
      <c r="Z36" s="32">
        <v>0</v>
      </c>
      <c r="AA36" s="32">
        <v>0</v>
      </c>
      <c r="AB36" s="32">
        <v>0</v>
      </c>
      <c r="AC36" s="32">
        <v>0</v>
      </c>
      <c r="AD36" s="32">
        <v>0</v>
      </c>
      <c r="AE36" s="32">
        <v>0</v>
      </c>
      <c r="AF36" s="32">
        <v>0</v>
      </c>
      <c r="AG36" s="32">
        <v>0</v>
      </c>
      <c r="AH36" s="32">
        <v>0</v>
      </c>
      <c r="AI36" s="32">
        <v>0</v>
      </c>
      <c r="AJ36" s="32">
        <v>0</v>
      </c>
      <c r="AK36" s="32">
        <v>0</v>
      </c>
      <c r="AL36" s="32">
        <v>0</v>
      </c>
      <c r="AM36" s="32">
        <v>0</v>
      </c>
      <c r="AN36" s="32">
        <v>0</v>
      </c>
      <c r="AO36" s="32">
        <v>0</v>
      </c>
      <c r="AP36" s="32">
        <v>0</v>
      </c>
      <c r="AQ36" s="32">
        <v>0</v>
      </c>
      <c r="AR36" s="32">
        <v>0</v>
      </c>
      <c r="AS36" s="32">
        <v>0</v>
      </c>
      <c r="AT36" s="32">
        <v>0</v>
      </c>
      <c r="AU36" s="32">
        <v>0</v>
      </c>
      <c r="AV36" s="32">
        <v>0</v>
      </c>
      <c r="AW36" s="32">
        <v>0</v>
      </c>
      <c r="AX36" s="32">
        <v>0</v>
      </c>
      <c r="AY36" s="32">
        <v>0</v>
      </c>
      <c r="AZ36" s="32">
        <v>0</v>
      </c>
      <c r="BA36" s="32">
        <v>0</v>
      </c>
      <c r="BB36" s="32">
        <v>0</v>
      </c>
      <c r="BC36" s="32">
        <v>0</v>
      </c>
      <c r="BD36" s="32">
        <v>0</v>
      </c>
      <c r="BE36" s="32">
        <v>0</v>
      </c>
      <c r="BF36" s="32">
        <v>0</v>
      </c>
      <c r="BG36" s="32">
        <v>0</v>
      </c>
      <c r="BH36" s="32">
        <v>0</v>
      </c>
      <c r="BI36" s="32">
        <v>0</v>
      </c>
      <c r="BJ36" s="32">
        <v>0</v>
      </c>
      <c r="BK36" s="32">
        <v>0</v>
      </c>
      <c r="BL36" s="32">
        <v>0</v>
      </c>
      <c r="BM36" s="32">
        <v>0</v>
      </c>
      <c r="BN36" s="32">
        <v>0</v>
      </c>
      <c r="BO36" s="32">
        <v>0</v>
      </c>
      <c r="BP36" s="32">
        <v>0</v>
      </c>
      <c r="BQ36" s="32">
        <v>0</v>
      </c>
      <c r="BR36" s="32">
        <v>0</v>
      </c>
      <c r="BS36" s="32">
        <v>0</v>
      </c>
      <c r="BT36" s="32">
        <v>0</v>
      </c>
      <c r="BU36" s="32">
        <v>0</v>
      </c>
      <c r="BV36" s="32">
        <v>0</v>
      </c>
      <c r="BW36" s="32">
        <v>0</v>
      </c>
      <c r="BX36" s="32">
        <v>0</v>
      </c>
      <c r="BY36" s="32">
        <v>0</v>
      </c>
      <c r="BZ36" s="32">
        <v>0</v>
      </c>
      <c r="CA36" s="32">
        <v>0</v>
      </c>
      <c r="CB36" s="32">
        <v>0</v>
      </c>
      <c r="CC36" s="32">
        <v>0</v>
      </c>
      <c r="CD36" s="32">
        <v>0</v>
      </c>
      <c r="CE36" s="32">
        <v>0</v>
      </c>
      <c r="CF36" s="32">
        <v>0</v>
      </c>
      <c r="CG36" s="32">
        <v>0</v>
      </c>
      <c r="CH36" s="32">
        <v>0</v>
      </c>
      <c r="CI36" s="32">
        <v>0</v>
      </c>
      <c r="CJ36" s="32">
        <v>0</v>
      </c>
    </row>
    <row r="37" spans="1:88" hidden="1">
      <c r="A37" s="136"/>
      <c r="B37" s="39" t="str">
        <f ca="1">DEC2HEX(B36,INDIRECT("'parameters recipe'!$C"&amp;B$27))</f>
        <v>0</v>
      </c>
      <c r="C37" s="39" t="e">
        <f t="shared" ref="C37:L37" ca="1" si="19">DEC2HEX(C36,INDIRECT("'parameters recipe'!$C"&amp;C$27))</f>
        <v>#NUM!</v>
      </c>
      <c r="D37" s="39" t="str">
        <f t="shared" ca="1" si="19"/>
        <v>0</v>
      </c>
      <c r="E37" s="39" t="e">
        <f t="shared" ca="1" si="19"/>
        <v>#NUM!</v>
      </c>
      <c r="F37" s="39" t="str">
        <f t="shared" ca="1" si="19"/>
        <v>0</v>
      </c>
      <c r="G37" s="39" t="e">
        <f t="shared" ca="1" si="19"/>
        <v>#NUM!</v>
      </c>
      <c r="H37" s="39" t="str">
        <f t="shared" ca="1" si="19"/>
        <v>0</v>
      </c>
      <c r="I37" s="39" t="e">
        <f t="shared" ca="1" si="19"/>
        <v>#NUM!</v>
      </c>
      <c r="J37" s="39" t="str">
        <f t="shared" ca="1" si="19"/>
        <v>0</v>
      </c>
      <c r="K37" s="39" t="e">
        <f t="shared" ca="1" si="19"/>
        <v>#NUM!</v>
      </c>
      <c r="L37" s="39" t="str">
        <f t="shared" ca="1" si="19"/>
        <v>0</v>
      </c>
      <c r="M37" s="123" t="str">
        <f>BIN2HEX(CONCATENATE(M36,N36,O36,P36,Q36,R36,S36,T36),2)</f>
        <v>00</v>
      </c>
      <c r="N37" s="124"/>
      <c r="O37" s="124"/>
      <c r="P37" s="124"/>
      <c r="Q37" s="124"/>
      <c r="R37" s="124"/>
      <c r="S37" s="124"/>
      <c r="T37" s="125"/>
      <c r="U37" s="39" t="e">
        <f t="shared" ref="U37:X37" ca="1" si="20">DEC2HEX(U36,INDIRECT("'parameters recipe'!$C"&amp;U$27))</f>
        <v>#NUM!</v>
      </c>
      <c r="V37" s="39" t="e">
        <f t="shared" ca="1" si="20"/>
        <v>#NUM!</v>
      </c>
      <c r="W37" s="39" t="e">
        <f t="shared" ca="1" si="20"/>
        <v>#NUM!</v>
      </c>
      <c r="X37" s="39" t="e">
        <f t="shared" ca="1" si="20"/>
        <v>#NUM!</v>
      </c>
      <c r="Y37" s="123" t="str">
        <f>BIN2HEX(CONCATENATE(Y36,Z36,AA36,AB36,AC36,AD36,AE36,AF36),2)</f>
        <v>00</v>
      </c>
      <c r="Z37" s="124"/>
      <c r="AA37" s="124"/>
      <c r="AB37" s="124"/>
      <c r="AC37" s="124"/>
      <c r="AD37" s="124"/>
      <c r="AE37" s="124"/>
      <c r="AF37" s="125"/>
      <c r="AG37" s="123" t="str">
        <f>BIN2HEX(CONCATENATE(AG36,AH36,AI36,AJ36,AK36,AL36,AM36,AN36),2)</f>
        <v>00</v>
      </c>
      <c r="AH37" s="124"/>
      <c r="AI37" s="124"/>
      <c r="AJ37" s="124"/>
      <c r="AK37" s="124"/>
      <c r="AL37" s="124"/>
      <c r="AM37" s="124"/>
      <c r="AN37" s="125"/>
      <c r="AO37" s="123" t="str">
        <f>BIN2HEX(CONCATENATE(AO36,AP36,AQ36,AR36,AS36,AT36,AU36,AV36),2)</f>
        <v>00</v>
      </c>
      <c r="AP37" s="124"/>
      <c r="AQ37" s="124"/>
      <c r="AR37" s="124"/>
      <c r="AS37" s="124"/>
      <c r="AT37" s="124"/>
      <c r="AU37" s="124"/>
      <c r="AV37" s="125"/>
      <c r="AW37" s="123" t="str">
        <f>BIN2HEX(CONCATENATE(AW36,AX36,AY36,AZ36,BA36,BB36,BC36,BD36),2)</f>
        <v>00</v>
      </c>
      <c r="AX37" s="124"/>
      <c r="AY37" s="124"/>
      <c r="AZ37" s="124"/>
      <c r="BA37" s="124"/>
      <c r="BB37" s="124"/>
      <c r="BC37" s="124"/>
      <c r="BD37" s="125"/>
      <c r="BE37" s="123" t="str">
        <f>BIN2HEX(CONCATENATE(BE36,BF36,BG36,BH36,BI36,BJ36,BK36,BL36),2)</f>
        <v>00</v>
      </c>
      <c r="BF37" s="124"/>
      <c r="BG37" s="124"/>
      <c r="BH37" s="124"/>
      <c r="BI37" s="124"/>
      <c r="BJ37" s="124"/>
      <c r="BK37" s="124"/>
      <c r="BL37" s="125"/>
      <c r="BM37" s="123" t="str">
        <f>BIN2HEX(CONCATENATE(BM36,BN36,BO36,BP36,BQ36,BR36,BS36,BT36),2)</f>
        <v>00</v>
      </c>
      <c r="BN37" s="124"/>
      <c r="BO37" s="124"/>
      <c r="BP37" s="124"/>
      <c r="BQ37" s="124"/>
      <c r="BR37" s="124"/>
      <c r="BS37" s="124"/>
      <c r="BT37" s="125"/>
      <c r="BU37" s="123" t="str">
        <f>BIN2HEX(CONCATENATE(BU36,BV36,BW36,BX36,BY36,BZ36,CA36,CB36),2)</f>
        <v>00</v>
      </c>
      <c r="BV37" s="124"/>
      <c r="BW37" s="124"/>
      <c r="BX37" s="124"/>
      <c r="BY37" s="124"/>
      <c r="BZ37" s="124"/>
      <c r="CA37" s="124"/>
      <c r="CB37" s="125"/>
      <c r="CC37" s="123" t="str">
        <f>BIN2HEX(CONCATENATE(CC36,CD36,CE36,CF36,CG36,CH36,CI36,CJ36),2)</f>
        <v>00</v>
      </c>
      <c r="CD37" s="124"/>
      <c r="CE37" s="124"/>
      <c r="CF37" s="124"/>
      <c r="CG37" s="124"/>
      <c r="CH37" s="124"/>
      <c r="CI37" s="124"/>
      <c r="CJ37" s="125"/>
    </row>
    <row r="38" spans="1:88">
      <c r="A38" s="135" t="s">
        <v>15</v>
      </c>
      <c r="B38" s="32">
        <v>0</v>
      </c>
      <c r="C38" s="32">
        <v>0</v>
      </c>
      <c r="D38" s="32">
        <v>0</v>
      </c>
      <c r="E38" s="32">
        <v>0</v>
      </c>
      <c r="F38" s="32">
        <v>0</v>
      </c>
      <c r="G38" s="32">
        <v>0</v>
      </c>
      <c r="H38" s="32">
        <v>0</v>
      </c>
      <c r="I38" s="32">
        <v>0</v>
      </c>
      <c r="J38" s="32">
        <v>0</v>
      </c>
      <c r="K38" s="32">
        <v>0</v>
      </c>
      <c r="L38" s="32">
        <v>0</v>
      </c>
      <c r="M38" s="32">
        <v>0</v>
      </c>
      <c r="N38" s="32">
        <v>0</v>
      </c>
      <c r="O38" s="32">
        <v>0</v>
      </c>
      <c r="P38" s="32">
        <v>0</v>
      </c>
      <c r="Q38" s="32">
        <v>0</v>
      </c>
      <c r="R38" s="32">
        <v>0</v>
      </c>
      <c r="S38" s="32">
        <v>0</v>
      </c>
      <c r="T38" s="32">
        <v>0</v>
      </c>
      <c r="U38" s="32">
        <v>0</v>
      </c>
      <c r="V38" s="32">
        <v>0</v>
      </c>
      <c r="W38" s="32">
        <v>0</v>
      </c>
      <c r="X38" s="32">
        <v>0</v>
      </c>
      <c r="Y38" s="32">
        <v>0</v>
      </c>
      <c r="Z38" s="32">
        <v>0</v>
      </c>
      <c r="AA38" s="32">
        <v>0</v>
      </c>
      <c r="AB38" s="32">
        <v>0</v>
      </c>
      <c r="AC38" s="32">
        <v>0</v>
      </c>
      <c r="AD38" s="32">
        <v>0</v>
      </c>
      <c r="AE38" s="32">
        <v>0</v>
      </c>
      <c r="AF38" s="32">
        <v>0</v>
      </c>
      <c r="AG38" s="32">
        <v>0</v>
      </c>
      <c r="AH38" s="32">
        <v>0</v>
      </c>
      <c r="AI38" s="32">
        <v>0</v>
      </c>
      <c r="AJ38" s="32">
        <v>0</v>
      </c>
      <c r="AK38" s="32">
        <v>0</v>
      </c>
      <c r="AL38" s="32">
        <v>0</v>
      </c>
      <c r="AM38" s="32">
        <v>0</v>
      </c>
      <c r="AN38" s="32">
        <v>0</v>
      </c>
      <c r="AO38" s="32">
        <v>0</v>
      </c>
      <c r="AP38" s="32">
        <v>0</v>
      </c>
      <c r="AQ38" s="32">
        <v>0</v>
      </c>
      <c r="AR38" s="32">
        <v>0</v>
      </c>
      <c r="AS38" s="32">
        <v>0</v>
      </c>
      <c r="AT38" s="32">
        <v>0</v>
      </c>
      <c r="AU38" s="32">
        <v>0</v>
      </c>
      <c r="AV38" s="32">
        <v>0</v>
      </c>
      <c r="AW38" s="32">
        <v>0</v>
      </c>
      <c r="AX38" s="32">
        <v>0</v>
      </c>
      <c r="AY38" s="32">
        <v>0</v>
      </c>
      <c r="AZ38" s="32">
        <v>0</v>
      </c>
      <c r="BA38" s="32">
        <v>0</v>
      </c>
      <c r="BB38" s="32">
        <v>0</v>
      </c>
      <c r="BC38" s="32">
        <v>0</v>
      </c>
      <c r="BD38" s="32">
        <v>0</v>
      </c>
      <c r="BE38" s="32">
        <v>0</v>
      </c>
      <c r="BF38" s="32">
        <v>0</v>
      </c>
      <c r="BG38" s="32">
        <v>0</v>
      </c>
      <c r="BH38" s="32">
        <v>0</v>
      </c>
      <c r="BI38" s="32">
        <v>0</v>
      </c>
      <c r="BJ38" s="32">
        <v>0</v>
      </c>
      <c r="BK38" s="32">
        <v>0</v>
      </c>
      <c r="BL38" s="32">
        <v>0</v>
      </c>
      <c r="BM38" s="32">
        <v>0</v>
      </c>
      <c r="BN38" s="32">
        <v>0</v>
      </c>
      <c r="BO38" s="32">
        <v>0</v>
      </c>
      <c r="BP38" s="32">
        <v>0</v>
      </c>
      <c r="BQ38" s="32">
        <v>0</v>
      </c>
      <c r="BR38" s="32">
        <v>0</v>
      </c>
      <c r="BS38" s="32">
        <v>0</v>
      </c>
      <c r="BT38" s="32">
        <v>0</v>
      </c>
      <c r="BU38" s="32">
        <v>0</v>
      </c>
      <c r="BV38" s="32">
        <v>0</v>
      </c>
      <c r="BW38" s="32">
        <v>0</v>
      </c>
      <c r="BX38" s="32">
        <v>0</v>
      </c>
      <c r="BY38" s="32">
        <v>0</v>
      </c>
      <c r="BZ38" s="32">
        <v>0</v>
      </c>
      <c r="CA38" s="32">
        <v>0</v>
      </c>
      <c r="CB38" s="32">
        <v>0</v>
      </c>
      <c r="CC38" s="32">
        <v>0</v>
      </c>
      <c r="CD38" s="32">
        <v>0</v>
      </c>
      <c r="CE38" s="32">
        <v>0</v>
      </c>
      <c r="CF38" s="32">
        <v>0</v>
      </c>
      <c r="CG38" s="32">
        <v>0</v>
      </c>
      <c r="CH38" s="32">
        <v>0</v>
      </c>
      <c r="CI38" s="32">
        <v>0</v>
      </c>
      <c r="CJ38" s="32">
        <v>0</v>
      </c>
    </row>
    <row r="39" spans="1:88" hidden="1">
      <c r="A39" s="136"/>
      <c r="B39" s="39" t="str">
        <f ca="1">DEC2HEX(B38,INDIRECT("'parameters recipe'!$C"&amp;B$27))</f>
        <v>0</v>
      </c>
      <c r="C39" s="39" t="e">
        <f t="shared" ref="C39:L39" ca="1" si="21">DEC2HEX(C38,INDIRECT("'parameters recipe'!$C"&amp;C$27))</f>
        <v>#NUM!</v>
      </c>
      <c r="D39" s="39" t="str">
        <f t="shared" ca="1" si="21"/>
        <v>0</v>
      </c>
      <c r="E39" s="39" t="e">
        <f t="shared" ca="1" si="21"/>
        <v>#NUM!</v>
      </c>
      <c r="F39" s="39" t="str">
        <f t="shared" ca="1" si="21"/>
        <v>0</v>
      </c>
      <c r="G39" s="39" t="e">
        <f t="shared" ca="1" si="21"/>
        <v>#NUM!</v>
      </c>
      <c r="H39" s="39" t="str">
        <f t="shared" ca="1" si="21"/>
        <v>0</v>
      </c>
      <c r="I39" s="39" t="e">
        <f t="shared" ca="1" si="21"/>
        <v>#NUM!</v>
      </c>
      <c r="J39" s="39" t="str">
        <f t="shared" ca="1" si="21"/>
        <v>0</v>
      </c>
      <c r="K39" s="39" t="e">
        <f t="shared" ca="1" si="21"/>
        <v>#NUM!</v>
      </c>
      <c r="L39" s="39" t="str">
        <f t="shared" ca="1" si="21"/>
        <v>0</v>
      </c>
      <c r="M39" s="123" t="str">
        <f>BIN2HEX(CONCATENATE(M38,N38,O38,P38,Q38,R38,S38,T38),2)</f>
        <v>00</v>
      </c>
      <c r="N39" s="124"/>
      <c r="O39" s="124"/>
      <c r="P39" s="124"/>
      <c r="Q39" s="124"/>
      <c r="R39" s="124"/>
      <c r="S39" s="124"/>
      <c r="T39" s="125"/>
      <c r="U39" s="39" t="e">
        <f t="shared" ref="U39:X39" ca="1" si="22">DEC2HEX(U38,INDIRECT("'parameters recipe'!$C"&amp;U$27))</f>
        <v>#NUM!</v>
      </c>
      <c r="V39" s="39" t="e">
        <f t="shared" ca="1" si="22"/>
        <v>#NUM!</v>
      </c>
      <c r="W39" s="39" t="e">
        <f t="shared" ca="1" si="22"/>
        <v>#NUM!</v>
      </c>
      <c r="X39" s="39" t="e">
        <f t="shared" ca="1" si="22"/>
        <v>#NUM!</v>
      </c>
      <c r="Y39" s="123" t="str">
        <f>BIN2HEX(CONCATENATE(Y38,Z38,AA38,AB38,AC38,AD38,AE38,AF38),2)</f>
        <v>00</v>
      </c>
      <c r="Z39" s="124"/>
      <c r="AA39" s="124"/>
      <c r="AB39" s="124"/>
      <c r="AC39" s="124"/>
      <c r="AD39" s="124"/>
      <c r="AE39" s="124"/>
      <c r="AF39" s="125"/>
      <c r="AG39" s="123" t="str">
        <f>BIN2HEX(CONCATENATE(AG38,AH38,AI38,AJ38,AK38,AL38,AM38,AN38),2)</f>
        <v>00</v>
      </c>
      <c r="AH39" s="124"/>
      <c r="AI39" s="124"/>
      <c r="AJ39" s="124"/>
      <c r="AK39" s="124"/>
      <c r="AL39" s="124"/>
      <c r="AM39" s="124"/>
      <c r="AN39" s="125"/>
      <c r="AO39" s="123" t="str">
        <f>BIN2HEX(CONCATENATE(AO38,AP38,AQ38,AR38,AS38,AT38,AU38,AV38),2)</f>
        <v>00</v>
      </c>
      <c r="AP39" s="124"/>
      <c r="AQ39" s="124"/>
      <c r="AR39" s="124"/>
      <c r="AS39" s="124"/>
      <c r="AT39" s="124"/>
      <c r="AU39" s="124"/>
      <c r="AV39" s="125"/>
      <c r="AW39" s="123" t="str">
        <f>BIN2HEX(CONCATENATE(AW38,AX38,AY38,AZ38,BA38,BB38,BC38,BD38),2)</f>
        <v>00</v>
      </c>
      <c r="AX39" s="124"/>
      <c r="AY39" s="124"/>
      <c r="AZ39" s="124"/>
      <c r="BA39" s="124"/>
      <c r="BB39" s="124"/>
      <c r="BC39" s="124"/>
      <c r="BD39" s="125"/>
      <c r="BE39" s="123" t="str">
        <f>BIN2HEX(CONCATENATE(BE38,BF38,BG38,BH38,BI38,BJ38,BK38,BL38),2)</f>
        <v>00</v>
      </c>
      <c r="BF39" s="124"/>
      <c r="BG39" s="124"/>
      <c r="BH39" s="124"/>
      <c r="BI39" s="124"/>
      <c r="BJ39" s="124"/>
      <c r="BK39" s="124"/>
      <c r="BL39" s="125"/>
      <c r="BM39" s="123" t="str">
        <f>BIN2HEX(CONCATENATE(BM38,BN38,BO38,BP38,BQ38,BR38,BS38,BT38),2)</f>
        <v>00</v>
      </c>
      <c r="BN39" s="124"/>
      <c r="BO39" s="124"/>
      <c r="BP39" s="124"/>
      <c r="BQ39" s="124"/>
      <c r="BR39" s="124"/>
      <c r="BS39" s="124"/>
      <c r="BT39" s="125"/>
      <c r="BU39" s="123" t="str">
        <f>BIN2HEX(CONCATENATE(BU38,BV38,BW38,BX38,BY38,BZ38,CA38,CB38),2)</f>
        <v>00</v>
      </c>
      <c r="BV39" s="124"/>
      <c r="BW39" s="124"/>
      <c r="BX39" s="124"/>
      <c r="BY39" s="124"/>
      <c r="BZ39" s="124"/>
      <c r="CA39" s="124"/>
      <c r="CB39" s="125"/>
      <c r="CC39" s="123" t="str">
        <f>BIN2HEX(CONCATENATE(CC38,CD38,CE38,CF38,CG38,CH38,CI38,CJ38),2)</f>
        <v>00</v>
      </c>
      <c r="CD39" s="124"/>
      <c r="CE39" s="124"/>
      <c r="CF39" s="124"/>
      <c r="CG39" s="124"/>
      <c r="CH39" s="124"/>
      <c r="CI39" s="124"/>
      <c r="CJ39" s="125"/>
    </row>
    <row r="40" spans="1:88">
      <c r="A40" s="135" t="s">
        <v>16</v>
      </c>
      <c r="B40" s="32">
        <v>0</v>
      </c>
      <c r="C40" s="32">
        <v>0</v>
      </c>
      <c r="D40" s="32">
        <v>0</v>
      </c>
      <c r="E40" s="32">
        <v>0</v>
      </c>
      <c r="F40" s="32">
        <v>0</v>
      </c>
      <c r="G40" s="32">
        <v>0</v>
      </c>
      <c r="H40" s="32">
        <v>0</v>
      </c>
      <c r="I40" s="32">
        <v>0</v>
      </c>
      <c r="J40" s="32">
        <v>0</v>
      </c>
      <c r="K40" s="32">
        <v>0</v>
      </c>
      <c r="L40" s="32">
        <v>0</v>
      </c>
      <c r="M40" s="32">
        <v>0</v>
      </c>
      <c r="N40" s="32">
        <v>0</v>
      </c>
      <c r="O40" s="32">
        <v>0</v>
      </c>
      <c r="P40" s="32">
        <v>0</v>
      </c>
      <c r="Q40" s="32">
        <v>0</v>
      </c>
      <c r="R40" s="32">
        <v>0</v>
      </c>
      <c r="S40" s="32">
        <v>0</v>
      </c>
      <c r="T40" s="32">
        <v>0</v>
      </c>
      <c r="U40" s="32">
        <v>0</v>
      </c>
      <c r="V40" s="32">
        <v>0</v>
      </c>
      <c r="W40" s="32">
        <v>0</v>
      </c>
      <c r="X40" s="32">
        <v>0</v>
      </c>
      <c r="Y40" s="32">
        <v>0</v>
      </c>
      <c r="Z40" s="32">
        <v>0</v>
      </c>
      <c r="AA40" s="32">
        <v>0</v>
      </c>
      <c r="AB40" s="32">
        <v>0</v>
      </c>
      <c r="AC40" s="32">
        <v>0</v>
      </c>
      <c r="AD40" s="32">
        <v>0</v>
      </c>
      <c r="AE40" s="32">
        <v>0</v>
      </c>
      <c r="AF40" s="32">
        <v>0</v>
      </c>
      <c r="AG40" s="32">
        <v>0</v>
      </c>
      <c r="AH40" s="32">
        <v>0</v>
      </c>
      <c r="AI40" s="32">
        <v>0</v>
      </c>
      <c r="AJ40" s="32">
        <v>0</v>
      </c>
      <c r="AK40" s="32">
        <v>0</v>
      </c>
      <c r="AL40" s="32">
        <v>0</v>
      </c>
      <c r="AM40" s="32">
        <v>0</v>
      </c>
      <c r="AN40" s="32">
        <v>0</v>
      </c>
      <c r="AO40" s="32">
        <v>0</v>
      </c>
      <c r="AP40" s="32">
        <v>0</v>
      </c>
      <c r="AQ40" s="32">
        <v>0</v>
      </c>
      <c r="AR40" s="32">
        <v>0</v>
      </c>
      <c r="AS40" s="32">
        <v>0</v>
      </c>
      <c r="AT40" s="32">
        <v>0</v>
      </c>
      <c r="AU40" s="32">
        <v>0</v>
      </c>
      <c r="AV40" s="32">
        <v>0</v>
      </c>
      <c r="AW40" s="32">
        <v>0</v>
      </c>
      <c r="AX40" s="32">
        <v>0</v>
      </c>
      <c r="AY40" s="32">
        <v>0</v>
      </c>
      <c r="AZ40" s="32">
        <v>0</v>
      </c>
      <c r="BA40" s="32">
        <v>0</v>
      </c>
      <c r="BB40" s="32">
        <v>0</v>
      </c>
      <c r="BC40" s="32">
        <v>0</v>
      </c>
      <c r="BD40" s="32">
        <v>0</v>
      </c>
      <c r="BE40" s="32">
        <v>0</v>
      </c>
      <c r="BF40" s="32">
        <v>0</v>
      </c>
      <c r="BG40" s="32">
        <v>0</v>
      </c>
      <c r="BH40" s="32">
        <v>0</v>
      </c>
      <c r="BI40" s="32">
        <v>0</v>
      </c>
      <c r="BJ40" s="32">
        <v>0</v>
      </c>
      <c r="BK40" s="32">
        <v>0</v>
      </c>
      <c r="BL40" s="32">
        <v>0</v>
      </c>
      <c r="BM40" s="32">
        <v>0</v>
      </c>
      <c r="BN40" s="32">
        <v>0</v>
      </c>
      <c r="BO40" s="32">
        <v>0</v>
      </c>
      <c r="BP40" s="32">
        <v>0</v>
      </c>
      <c r="BQ40" s="32">
        <v>0</v>
      </c>
      <c r="BR40" s="32">
        <v>0</v>
      </c>
      <c r="BS40" s="32">
        <v>0</v>
      </c>
      <c r="BT40" s="32">
        <v>0</v>
      </c>
      <c r="BU40" s="32">
        <v>0</v>
      </c>
      <c r="BV40" s="32">
        <v>0</v>
      </c>
      <c r="BW40" s="32">
        <v>0</v>
      </c>
      <c r="BX40" s="32">
        <v>0</v>
      </c>
      <c r="BY40" s="32">
        <v>0</v>
      </c>
      <c r="BZ40" s="32">
        <v>0</v>
      </c>
      <c r="CA40" s="32">
        <v>0</v>
      </c>
      <c r="CB40" s="32">
        <v>0</v>
      </c>
      <c r="CC40" s="32">
        <v>0</v>
      </c>
      <c r="CD40" s="32">
        <v>0</v>
      </c>
      <c r="CE40" s="32">
        <v>0</v>
      </c>
      <c r="CF40" s="32">
        <v>0</v>
      </c>
      <c r="CG40" s="32">
        <v>0</v>
      </c>
      <c r="CH40" s="32">
        <v>0</v>
      </c>
      <c r="CI40" s="32">
        <v>0</v>
      </c>
      <c r="CJ40" s="32">
        <v>0</v>
      </c>
    </row>
    <row r="41" spans="1:88" hidden="1">
      <c r="A41" s="136"/>
      <c r="B41" s="39" t="str">
        <f ca="1">DEC2HEX(B40,INDIRECT("'parameters recipe'!$C"&amp;B$27))</f>
        <v>0</v>
      </c>
      <c r="C41" s="39" t="e">
        <f t="shared" ref="C41:L41" ca="1" si="23">DEC2HEX(C40,INDIRECT("'parameters recipe'!$C"&amp;C$27))</f>
        <v>#NUM!</v>
      </c>
      <c r="D41" s="39" t="str">
        <f t="shared" ca="1" si="23"/>
        <v>0</v>
      </c>
      <c r="E41" s="39" t="e">
        <f t="shared" ca="1" si="23"/>
        <v>#NUM!</v>
      </c>
      <c r="F41" s="39" t="str">
        <f t="shared" ca="1" si="23"/>
        <v>0</v>
      </c>
      <c r="G41" s="39" t="e">
        <f t="shared" ca="1" si="23"/>
        <v>#NUM!</v>
      </c>
      <c r="H41" s="39" t="str">
        <f t="shared" ca="1" si="23"/>
        <v>0</v>
      </c>
      <c r="I41" s="39" t="e">
        <f t="shared" ca="1" si="23"/>
        <v>#NUM!</v>
      </c>
      <c r="J41" s="39" t="str">
        <f t="shared" ca="1" si="23"/>
        <v>0</v>
      </c>
      <c r="K41" s="39" t="e">
        <f t="shared" ca="1" si="23"/>
        <v>#NUM!</v>
      </c>
      <c r="L41" s="39" t="str">
        <f t="shared" ca="1" si="23"/>
        <v>0</v>
      </c>
      <c r="M41" s="123" t="str">
        <f>BIN2HEX(CONCATENATE(M40,N40,O40,P40,Q40,R40,S40,T40),2)</f>
        <v>00</v>
      </c>
      <c r="N41" s="124"/>
      <c r="O41" s="124"/>
      <c r="P41" s="124"/>
      <c r="Q41" s="124"/>
      <c r="R41" s="124"/>
      <c r="S41" s="124"/>
      <c r="T41" s="125"/>
      <c r="U41" s="39" t="e">
        <f t="shared" ref="U41:X41" ca="1" si="24">DEC2HEX(U40,INDIRECT("'parameters recipe'!$C"&amp;U$27))</f>
        <v>#NUM!</v>
      </c>
      <c r="V41" s="39" t="e">
        <f t="shared" ca="1" si="24"/>
        <v>#NUM!</v>
      </c>
      <c r="W41" s="39" t="e">
        <f t="shared" ca="1" si="24"/>
        <v>#NUM!</v>
      </c>
      <c r="X41" s="39" t="e">
        <f t="shared" ca="1" si="24"/>
        <v>#NUM!</v>
      </c>
      <c r="Y41" s="123" t="str">
        <f>BIN2HEX(CONCATENATE(Y40,Z40,AA40,AB40,AC40,AD40,AE40,AF40),2)</f>
        <v>00</v>
      </c>
      <c r="Z41" s="124"/>
      <c r="AA41" s="124"/>
      <c r="AB41" s="124"/>
      <c r="AC41" s="124"/>
      <c r="AD41" s="124"/>
      <c r="AE41" s="124"/>
      <c r="AF41" s="125"/>
      <c r="AG41" s="123" t="str">
        <f>BIN2HEX(CONCATENATE(AG40,AH40,AI40,AJ40,AK40,AL40,AM40,AN40),2)</f>
        <v>00</v>
      </c>
      <c r="AH41" s="124"/>
      <c r="AI41" s="124"/>
      <c r="AJ41" s="124"/>
      <c r="AK41" s="124"/>
      <c r="AL41" s="124"/>
      <c r="AM41" s="124"/>
      <c r="AN41" s="125"/>
      <c r="AO41" s="123" t="str">
        <f>BIN2HEX(CONCATENATE(AO40,AP40,AQ40,AR40,AS40,AT40,AU40,AV40),2)</f>
        <v>00</v>
      </c>
      <c r="AP41" s="124"/>
      <c r="AQ41" s="124"/>
      <c r="AR41" s="124"/>
      <c r="AS41" s="124"/>
      <c r="AT41" s="124"/>
      <c r="AU41" s="124"/>
      <c r="AV41" s="125"/>
      <c r="AW41" s="123" t="str">
        <f>BIN2HEX(CONCATENATE(AW40,AX40,AY40,AZ40,BA40,BB40,BC40,BD40),2)</f>
        <v>00</v>
      </c>
      <c r="AX41" s="124"/>
      <c r="AY41" s="124"/>
      <c r="AZ41" s="124"/>
      <c r="BA41" s="124"/>
      <c r="BB41" s="124"/>
      <c r="BC41" s="124"/>
      <c r="BD41" s="125"/>
      <c r="BE41" s="123" t="str">
        <f>BIN2HEX(CONCATENATE(BE40,BF40,BG40,BH40,BI40,BJ40,BK40,BL40),2)</f>
        <v>00</v>
      </c>
      <c r="BF41" s="124"/>
      <c r="BG41" s="124"/>
      <c r="BH41" s="124"/>
      <c r="BI41" s="124"/>
      <c r="BJ41" s="124"/>
      <c r="BK41" s="124"/>
      <c r="BL41" s="125"/>
      <c r="BM41" s="123" t="str">
        <f>BIN2HEX(CONCATENATE(BM40,BN40,BO40,BP40,BQ40,BR40,BS40,BT40),2)</f>
        <v>00</v>
      </c>
      <c r="BN41" s="124"/>
      <c r="BO41" s="124"/>
      <c r="BP41" s="124"/>
      <c r="BQ41" s="124"/>
      <c r="BR41" s="124"/>
      <c r="BS41" s="124"/>
      <c r="BT41" s="125"/>
      <c r="BU41" s="123" t="str">
        <f>BIN2HEX(CONCATENATE(BU40,BV40,BW40,BX40,BY40,BZ40,CA40,CB40),2)</f>
        <v>00</v>
      </c>
      <c r="BV41" s="124"/>
      <c r="BW41" s="124"/>
      <c r="BX41" s="124"/>
      <c r="BY41" s="124"/>
      <c r="BZ41" s="124"/>
      <c r="CA41" s="124"/>
      <c r="CB41" s="125"/>
      <c r="CC41" s="123" t="str">
        <f>BIN2HEX(CONCATENATE(CC40,CD40,CE40,CF40,CG40,CH40,CI40,CJ40),2)</f>
        <v>00</v>
      </c>
      <c r="CD41" s="124"/>
      <c r="CE41" s="124"/>
      <c r="CF41" s="124"/>
      <c r="CG41" s="124"/>
      <c r="CH41" s="124"/>
      <c r="CI41" s="124"/>
      <c r="CJ41" s="125"/>
    </row>
    <row r="42" spans="1:88">
      <c r="A42" s="135" t="s">
        <v>17</v>
      </c>
      <c r="B42" s="32">
        <v>0</v>
      </c>
      <c r="C42" s="32">
        <v>0</v>
      </c>
      <c r="D42" s="32">
        <v>0</v>
      </c>
      <c r="E42" s="32">
        <v>0</v>
      </c>
      <c r="F42" s="32">
        <v>0</v>
      </c>
      <c r="G42" s="32">
        <v>0</v>
      </c>
      <c r="H42" s="32">
        <v>0</v>
      </c>
      <c r="I42" s="32">
        <v>0</v>
      </c>
      <c r="J42" s="32">
        <v>0</v>
      </c>
      <c r="K42" s="32">
        <v>0</v>
      </c>
      <c r="L42" s="32">
        <v>0</v>
      </c>
      <c r="M42" s="32">
        <v>0</v>
      </c>
      <c r="N42" s="32">
        <v>0</v>
      </c>
      <c r="O42" s="32">
        <v>0</v>
      </c>
      <c r="P42" s="32">
        <v>0</v>
      </c>
      <c r="Q42" s="32">
        <v>0</v>
      </c>
      <c r="R42" s="32">
        <v>0</v>
      </c>
      <c r="S42" s="32">
        <v>0</v>
      </c>
      <c r="T42" s="32">
        <v>0</v>
      </c>
      <c r="U42" s="32">
        <v>0</v>
      </c>
      <c r="V42" s="32">
        <v>0</v>
      </c>
      <c r="W42" s="32">
        <v>0</v>
      </c>
      <c r="X42" s="32">
        <v>0</v>
      </c>
      <c r="Y42" s="32">
        <v>0</v>
      </c>
      <c r="Z42" s="32">
        <v>0</v>
      </c>
      <c r="AA42" s="32">
        <v>0</v>
      </c>
      <c r="AB42" s="32">
        <v>0</v>
      </c>
      <c r="AC42" s="32">
        <v>0</v>
      </c>
      <c r="AD42" s="32">
        <v>0</v>
      </c>
      <c r="AE42" s="32">
        <v>0</v>
      </c>
      <c r="AF42" s="32">
        <v>0</v>
      </c>
      <c r="AG42" s="32">
        <v>0</v>
      </c>
      <c r="AH42" s="32">
        <v>0</v>
      </c>
      <c r="AI42" s="32">
        <v>0</v>
      </c>
      <c r="AJ42" s="32">
        <v>0</v>
      </c>
      <c r="AK42" s="32">
        <v>0</v>
      </c>
      <c r="AL42" s="32">
        <v>0</v>
      </c>
      <c r="AM42" s="32">
        <v>0</v>
      </c>
      <c r="AN42" s="32">
        <v>0</v>
      </c>
      <c r="AO42" s="32">
        <v>0</v>
      </c>
      <c r="AP42" s="32">
        <v>0</v>
      </c>
      <c r="AQ42" s="32">
        <v>0</v>
      </c>
      <c r="AR42" s="32">
        <v>0</v>
      </c>
      <c r="AS42" s="32">
        <v>0</v>
      </c>
      <c r="AT42" s="32">
        <v>0</v>
      </c>
      <c r="AU42" s="32">
        <v>0</v>
      </c>
      <c r="AV42" s="32">
        <v>0</v>
      </c>
      <c r="AW42" s="32">
        <v>0</v>
      </c>
      <c r="AX42" s="32">
        <v>0</v>
      </c>
      <c r="AY42" s="32">
        <v>0</v>
      </c>
      <c r="AZ42" s="32">
        <v>0</v>
      </c>
      <c r="BA42" s="32">
        <v>0</v>
      </c>
      <c r="BB42" s="32">
        <v>0</v>
      </c>
      <c r="BC42" s="32">
        <v>0</v>
      </c>
      <c r="BD42" s="32">
        <v>0</v>
      </c>
      <c r="BE42" s="32">
        <v>0</v>
      </c>
      <c r="BF42" s="32">
        <v>0</v>
      </c>
      <c r="BG42" s="32">
        <v>0</v>
      </c>
      <c r="BH42" s="32">
        <v>0</v>
      </c>
      <c r="BI42" s="32">
        <v>0</v>
      </c>
      <c r="BJ42" s="32">
        <v>0</v>
      </c>
      <c r="BK42" s="32">
        <v>0</v>
      </c>
      <c r="BL42" s="32">
        <v>0</v>
      </c>
      <c r="BM42" s="32">
        <v>0</v>
      </c>
      <c r="BN42" s="32">
        <v>0</v>
      </c>
      <c r="BO42" s="32">
        <v>0</v>
      </c>
      <c r="BP42" s="32">
        <v>0</v>
      </c>
      <c r="BQ42" s="32">
        <v>0</v>
      </c>
      <c r="BR42" s="32">
        <v>0</v>
      </c>
      <c r="BS42" s="32">
        <v>0</v>
      </c>
      <c r="BT42" s="32">
        <v>0</v>
      </c>
      <c r="BU42" s="32">
        <v>0</v>
      </c>
      <c r="BV42" s="32">
        <v>0</v>
      </c>
      <c r="BW42" s="32">
        <v>0</v>
      </c>
      <c r="BX42" s="32">
        <v>0</v>
      </c>
      <c r="BY42" s="32">
        <v>0</v>
      </c>
      <c r="BZ42" s="32">
        <v>0</v>
      </c>
      <c r="CA42" s="32">
        <v>0</v>
      </c>
      <c r="CB42" s="32">
        <v>0</v>
      </c>
      <c r="CC42" s="32">
        <v>0</v>
      </c>
      <c r="CD42" s="32">
        <v>0</v>
      </c>
      <c r="CE42" s="32">
        <v>0</v>
      </c>
      <c r="CF42" s="32">
        <v>0</v>
      </c>
      <c r="CG42" s="32">
        <v>0</v>
      </c>
      <c r="CH42" s="32">
        <v>0</v>
      </c>
      <c r="CI42" s="32">
        <v>0</v>
      </c>
      <c r="CJ42" s="32">
        <v>0</v>
      </c>
    </row>
    <row r="43" spans="1:88" hidden="1">
      <c r="A43" s="136"/>
      <c r="B43" s="39" t="str">
        <f ca="1">DEC2HEX(B42,INDIRECT("'parameters recipe'!$C"&amp;B$27))</f>
        <v>0</v>
      </c>
      <c r="C43" s="39" t="e">
        <f t="shared" ref="C43:L43" ca="1" si="25">DEC2HEX(C42,INDIRECT("'parameters recipe'!$C"&amp;C$27))</f>
        <v>#NUM!</v>
      </c>
      <c r="D43" s="39" t="str">
        <f t="shared" ca="1" si="25"/>
        <v>0</v>
      </c>
      <c r="E43" s="39" t="e">
        <f t="shared" ca="1" si="25"/>
        <v>#NUM!</v>
      </c>
      <c r="F43" s="39" t="str">
        <f t="shared" ca="1" si="25"/>
        <v>0</v>
      </c>
      <c r="G43" s="39" t="e">
        <f t="shared" ca="1" si="25"/>
        <v>#NUM!</v>
      </c>
      <c r="H43" s="39" t="str">
        <f t="shared" ca="1" si="25"/>
        <v>0</v>
      </c>
      <c r="I43" s="39" t="e">
        <f t="shared" ca="1" si="25"/>
        <v>#NUM!</v>
      </c>
      <c r="J43" s="39" t="str">
        <f t="shared" ca="1" si="25"/>
        <v>0</v>
      </c>
      <c r="K43" s="39" t="e">
        <f t="shared" ca="1" si="25"/>
        <v>#NUM!</v>
      </c>
      <c r="L43" s="39" t="str">
        <f t="shared" ca="1" si="25"/>
        <v>0</v>
      </c>
      <c r="M43" s="123" t="str">
        <f>BIN2HEX(CONCATENATE(M42,N42,O42,P42,Q42,R42,S42,T42),2)</f>
        <v>00</v>
      </c>
      <c r="N43" s="124"/>
      <c r="O43" s="124"/>
      <c r="P43" s="124"/>
      <c r="Q43" s="124"/>
      <c r="R43" s="124"/>
      <c r="S43" s="124"/>
      <c r="T43" s="125"/>
      <c r="U43" s="39" t="e">
        <f t="shared" ref="U43:X43" ca="1" si="26">DEC2HEX(U42,INDIRECT("'parameters recipe'!$C"&amp;U$27))</f>
        <v>#NUM!</v>
      </c>
      <c r="V43" s="39" t="e">
        <f t="shared" ca="1" si="26"/>
        <v>#NUM!</v>
      </c>
      <c r="W43" s="39" t="e">
        <f t="shared" ca="1" si="26"/>
        <v>#NUM!</v>
      </c>
      <c r="X43" s="39" t="e">
        <f t="shared" ca="1" si="26"/>
        <v>#NUM!</v>
      </c>
      <c r="Y43" s="123" t="str">
        <f>BIN2HEX(CONCATENATE(Y42,Z42,AA42,AB42,AC42,AD42,AE42,AF42),2)</f>
        <v>00</v>
      </c>
      <c r="Z43" s="124"/>
      <c r="AA43" s="124"/>
      <c r="AB43" s="124"/>
      <c r="AC43" s="124"/>
      <c r="AD43" s="124"/>
      <c r="AE43" s="124"/>
      <c r="AF43" s="125"/>
      <c r="AG43" s="123" t="str">
        <f>BIN2HEX(CONCATENATE(AG42,AH42,AI42,AJ42,AK42,AL42,AM42,AN42),2)</f>
        <v>00</v>
      </c>
      <c r="AH43" s="124"/>
      <c r="AI43" s="124"/>
      <c r="AJ43" s="124"/>
      <c r="AK43" s="124"/>
      <c r="AL43" s="124"/>
      <c r="AM43" s="124"/>
      <c r="AN43" s="125"/>
      <c r="AO43" s="123" t="str">
        <f>BIN2HEX(CONCATENATE(AO42,AP42,AQ42,AR42,AS42,AT42,AU42,AV42),2)</f>
        <v>00</v>
      </c>
      <c r="AP43" s="124"/>
      <c r="AQ43" s="124"/>
      <c r="AR43" s="124"/>
      <c r="AS43" s="124"/>
      <c r="AT43" s="124"/>
      <c r="AU43" s="124"/>
      <c r="AV43" s="125"/>
      <c r="AW43" s="123" t="str">
        <f>BIN2HEX(CONCATENATE(AW42,AX42,AY42,AZ42,BA42,BB42,BC42,BD42),2)</f>
        <v>00</v>
      </c>
      <c r="AX43" s="124"/>
      <c r="AY43" s="124"/>
      <c r="AZ43" s="124"/>
      <c r="BA43" s="124"/>
      <c r="BB43" s="124"/>
      <c r="BC43" s="124"/>
      <c r="BD43" s="125"/>
      <c r="BE43" s="123" t="str">
        <f>BIN2HEX(CONCATENATE(BE42,BF42,BG42,BH42,BI42,BJ42,BK42,BL42),2)</f>
        <v>00</v>
      </c>
      <c r="BF43" s="124"/>
      <c r="BG43" s="124"/>
      <c r="BH43" s="124"/>
      <c r="BI43" s="124"/>
      <c r="BJ43" s="124"/>
      <c r="BK43" s="124"/>
      <c r="BL43" s="125"/>
      <c r="BM43" s="123" t="str">
        <f>BIN2HEX(CONCATENATE(BM42,BN42,BO42,BP42,BQ42,BR42,BS42,BT42),2)</f>
        <v>00</v>
      </c>
      <c r="BN43" s="124"/>
      <c r="BO43" s="124"/>
      <c r="BP43" s="124"/>
      <c r="BQ43" s="124"/>
      <c r="BR43" s="124"/>
      <c r="BS43" s="124"/>
      <c r="BT43" s="125"/>
      <c r="BU43" s="123" t="str">
        <f>BIN2HEX(CONCATENATE(BU42,BV42,BW42,BX42,BY42,BZ42,CA42,CB42),2)</f>
        <v>00</v>
      </c>
      <c r="BV43" s="124"/>
      <c r="BW43" s="124"/>
      <c r="BX43" s="124"/>
      <c r="BY43" s="124"/>
      <c r="BZ43" s="124"/>
      <c r="CA43" s="124"/>
      <c r="CB43" s="125"/>
      <c r="CC43" s="123" t="str">
        <f>BIN2HEX(CONCATENATE(CC42,CD42,CE42,CF42,CG42,CH42,CI42,CJ42),2)</f>
        <v>00</v>
      </c>
      <c r="CD43" s="124"/>
      <c r="CE43" s="124"/>
      <c r="CF43" s="124"/>
      <c r="CG43" s="124"/>
      <c r="CH43" s="124"/>
      <c r="CI43" s="124"/>
      <c r="CJ43" s="125"/>
    </row>
    <row r="44" spans="1:88">
      <c r="A44" s="135" t="s">
        <v>18</v>
      </c>
      <c r="B44" s="32">
        <v>0</v>
      </c>
      <c r="C44" s="32">
        <v>0</v>
      </c>
      <c r="D44" s="32">
        <v>0</v>
      </c>
      <c r="E44" s="32">
        <v>0</v>
      </c>
      <c r="F44" s="32">
        <v>0</v>
      </c>
      <c r="G44" s="32">
        <v>0</v>
      </c>
      <c r="H44" s="32">
        <v>0</v>
      </c>
      <c r="I44" s="32">
        <v>0</v>
      </c>
      <c r="J44" s="32">
        <v>0</v>
      </c>
      <c r="K44" s="32">
        <v>0</v>
      </c>
      <c r="L44" s="32">
        <v>0</v>
      </c>
      <c r="M44" s="32">
        <v>0</v>
      </c>
      <c r="N44" s="32">
        <v>0</v>
      </c>
      <c r="O44" s="32">
        <v>0</v>
      </c>
      <c r="P44" s="32">
        <v>0</v>
      </c>
      <c r="Q44" s="32">
        <v>0</v>
      </c>
      <c r="R44" s="32">
        <v>0</v>
      </c>
      <c r="S44" s="32">
        <v>0</v>
      </c>
      <c r="T44" s="32">
        <v>0</v>
      </c>
      <c r="U44" s="32">
        <v>0</v>
      </c>
      <c r="V44" s="32">
        <v>0</v>
      </c>
      <c r="W44" s="32">
        <v>0</v>
      </c>
      <c r="X44" s="32">
        <v>0</v>
      </c>
      <c r="Y44" s="32">
        <v>0</v>
      </c>
      <c r="Z44" s="32">
        <v>0</v>
      </c>
      <c r="AA44" s="32">
        <v>0</v>
      </c>
      <c r="AB44" s="32">
        <v>0</v>
      </c>
      <c r="AC44" s="32">
        <v>0</v>
      </c>
      <c r="AD44" s="32">
        <v>0</v>
      </c>
      <c r="AE44" s="32">
        <v>0</v>
      </c>
      <c r="AF44" s="32">
        <v>0</v>
      </c>
      <c r="AG44" s="32">
        <v>0</v>
      </c>
      <c r="AH44" s="32">
        <v>0</v>
      </c>
      <c r="AI44" s="32">
        <v>0</v>
      </c>
      <c r="AJ44" s="32">
        <v>0</v>
      </c>
      <c r="AK44" s="32">
        <v>0</v>
      </c>
      <c r="AL44" s="32">
        <v>0</v>
      </c>
      <c r="AM44" s="32">
        <v>0</v>
      </c>
      <c r="AN44" s="32">
        <v>0</v>
      </c>
      <c r="AO44" s="32">
        <v>0</v>
      </c>
      <c r="AP44" s="32">
        <v>0</v>
      </c>
      <c r="AQ44" s="32">
        <v>0</v>
      </c>
      <c r="AR44" s="32">
        <v>0</v>
      </c>
      <c r="AS44" s="32">
        <v>0</v>
      </c>
      <c r="AT44" s="32">
        <v>0</v>
      </c>
      <c r="AU44" s="32">
        <v>0</v>
      </c>
      <c r="AV44" s="32">
        <v>0</v>
      </c>
      <c r="AW44" s="32">
        <v>0</v>
      </c>
      <c r="AX44" s="32">
        <v>0</v>
      </c>
      <c r="AY44" s="32">
        <v>0</v>
      </c>
      <c r="AZ44" s="32">
        <v>0</v>
      </c>
      <c r="BA44" s="32">
        <v>0</v>
      </c>
      <c r="BB44" s="32">
        <v>0</v>
      </c>
      <c r="BC44" s="32">
        <v>0</v>
      </c>
      <c r="BD44" s="32">
        <v>0</v>
      </c>
      <c r="BE44" s="32">
        <v>0</v>
      </c>
      <c r="BF44" s="32">
        <v>0</v>
      </c>
      <c r="BG44" s="32">
        <v>0</v>
      </c>
      <c r="BH44" s="32">
        <v>0</v>
      </c>
      <c r="BI44" s="32">
        <v>0</v>
      </c>
      <c r="BJ44" s="32">
        <v>0</v>
      </c>
      <c r="BK44" s="32">
        <v>0</v>
      </c>
      <c r="BL44" s="32">
        <v>0</v>
      </c>
      <c r="BM44" s="32">
        <v>0</v>
      </c>
      <c r="BN44" s="32">
        <v>0</v>
      </c>
      <c r="BO44" s="32">
        <v>0</v>
      </c>
      <c r="BP44" s="32">
        <v>0</v>
      </c>
      <c r="BQ44" s="32">
        <v>0</v>
      </c>
      <c r="BR44" s="32">
        <v>0</v>
      </c>
      <c r="BS44" s="32">
        <v>0</v>
      </c>
      <c r="BT44" s="32">
        <v>0</v>
      </c>
      <c r="BU44" s="32">
        <v>0</v>
      </c>
      <c r="BV44" s="32">
        <v>0</v>
      </c>
      <c r="BW44" s="32">
        <v>0</v>
      </c>
      <c r="BX44" s="32">
        <v>0</v>
      </c>
      <c r="BY44" s="32">
        <v>0</v>
      </c>
      <c r="BZ44" s="32">
        <v>0</v>
      </c>
      <c r="CA44" s="32">
        <v>0</v>
      </c>
      <c r="CB44" s="32">
        <v>0</v>
      </c>
      <c r="CC44" s="32">
        <v>0</v>
      </c>
      <c r="CD44" s="32">
        <v>0</v>
      </c>
      <c r="CE44" s="32">
        <v>0</v>
      </c>
      <c r="CF44" s="32">
        <v>0</v>
      </c>
      <c r="CG44" s="32">
        <v>0</v>
      </c>
      <c r="CH44" s="32">
        <v>0</v>
      </c>
      <c r="CI44" s="32">
        <v>0</v>
      </c>
      <c r="CJ44" s="32">
        <v>0</v>
      </c>
    </row>
    <row r="45" spans="1:88" hidden="1">
      <c r="A45" s="136"/>
      <c r="B45" s="39" t="str">
        <f ca="1">DEC2HEX(B44,INDIRECT("'parameters recipe'!$C"&amp;B$27))</f>
        <v>0</v>
      </c>
      <c r="C45" s="39" t="e">
        <f t="shared" ref="C45:L45" ca="1" si="27">DEC2HEX(C44,INDIRECT("'parameters recipe'!$C"&amp;C$27))</f>
        <v>#NUM!</v>
      </c>
      <c r="D45" s="39" t="str">
        <f t="shared" ca="1" si="27"/>
        <v>0</v>
      </c>
      <c r="E45" s="39" t="e">
        <f t="shared" ca="1" si="27"/>
        <v>#NUM!</v>
      </c>
      <c r="F45" s="39" t="str">
        <f t="shared" ca="1" si="27"/>
        <v>0</v>
      </c>
      <c r="G45" s="39" t="e">
        <f t="shared" ca="1" si="27"/>
        <v>#NUM!</v>
      </c>
      <c r="H45" s="39" t="str">
        <f t="shared" ca="1" si="27"/>
        <v>0</v>
      </c>
      <c r="I45" s="39" t="e">
        <f t="shared" ca="1" si="27"/>
        <v>#NUM!</v>
      </c>
      <c r="J45" s="39" t="str">
        <f t="shared" ca="1" si="27"/>
        <v>0</v>
      </c>
      <c r="K45" s="39" t="e">
        <f t="shared" ca="1" si="27"/>
        <v>#NUM!</v>
      </c>
      <c r="L45" s="39" t="str">
        <f t="shared" ca="1" si="27"/>
        <v>0</v>
      </c>
      <c r="M45" s="123" t="str">
        <f>BIN2HEX(CONCATENATE(M44,N44,O44,P44,Q44,R44,S44,T44),2)</f>
        <v>00</v>
      </c>
      <c r="N45" s="124"/>
      <c r="O45" s="124"/>
      <c r="P45" s="124"/>
      <c r="Q45" s="124"/>
      <c r="R45" s="124"/>
      <c r="S45" s="124"/>
      <c r="T45" s="125"/>
      <c r="U45" s="39" t="e">
        <f t="shared" ref="U45:X45" ca="1" si="28">DEC2HEX(U44,INDIRECT("'parameters recipe'!$C"&amp;U$27))</f>
        <v>#NUM!</v>
      </c>
      <c r="V45" s="39" t="e">
        <f t="shared" ca="1" si="28"/>
        <v>#NUM!</v>
      </c>
      <c r="W45" s="39" t="e">
        <f t="shared" ca="1" si="28"/>
        <v>#NUM!</v>
      </c>
      <c r="X45" s="39" t="e">
        <f t="shared" ca="1" si="28"/>
        <v>#NUM!</v>
      </c>
      <c r="Y45" s="123" t="str">
        <f>BIN2HEX(CONCATENATE(Y44,Z44,AA44,AB44,AC44,AD44,AE44,AF44),2)</f>
        <v>00</v>
      </c>
      <c r="Z45" s="124"/>
      <c r="AA45" s="124"/>
      <c r="AB45" s="124"/>
      <c r="AC45" s="124"/>
      <c r="AD45" s="124"/>
      <c r="AE45" s="124"/>
      <c r="AF45" s="125"/>
      <c r="AG45" s="123" t="str">
        <f>BIN2HEX(CONCATENATE(AG44,AH44,AI44,AJ44,AK44,AL44,AM44,AN44),2)</f>
        <v>00</v>
      </c>
      <c r="AH45" s="124"/>
      <c r="AI45" s="124"/>
      <c r="AJ45" s="124"/>
      <c r="AK45" s="124"/>
      <c r="AL45" s="124"/>
      <c r="AM45" s="124"/>
      <c r="AN45" s="125"/>
      <c r="AO45" s="123" t="str">
        <f>BIN2HEX(CONCATENATE(AO44,AP44,AQ44,AR44,AS44,AT44,AU44,AV44),2)</f>
        <v>00</v>
      </c>
      <c r="AP45" s="124"/>
      <c r="AQ45" s="124"/>
      <c r="AR45" s="124"/>
      <c r="AS45" s="124"/>
      <c r="AT45" s="124"/>
      <c r="AU45" s="124"/>
      <c r="AV45" s="125"/>
      <c r="AW45" s="123" t="str">
        <f>BIN2HEX(CONCATENATE(AW44,AX44,AY44,AZ44,BA44,BB44,BC44,BD44),2)</f>
        <v>00</v>
      </c>
      <c r="AX45" s="124"/>
      <c r="AY45" s="124"/>
      <c r="AZ45" s="124"/>
      <c r="BA45" s="124"/>
      <c r="BB45" s="124"/>
      <c r="BC45" s="124"/>
      <c r="BD45" s="125"/>
      <c r="BE45" s="123" t="str">
        <f>BIN2HEX(CONCATENATE(BE44,BF44,BG44,BH44,BI44,BJ44,BK44,BL44),2)</f>
        <v>00</v>
      </c>
      <c r="BF45" s="124"/>
      <c r="BG45" s="124"/>
      <c r="BH45" s="124"/>
      <c r="BI45" s="124"/>
      <c r="BJ45" s="124"/>
      <c r="BK45" s="124"/>
      <c r="BL45" s="125"/>
      <c r="BM45" s="123" t="str">
        <f>BIN2HEX(CONCATENATE(BM44,BN44,BO44,BP44,BQ44,BR44,BS44,BT44),2)</f>
        <v>00</v>
      </c>
      <c r="BN45" s="124"/>
      <c r="BO45" s="124"/>
      <c r="BP45" s="124"/>
      <c r="BQ45" s="124"/>
      <c r="BR45" s="124"/>
      <c r="BS45" s="124"/>
      <c r="BT45" s="125"/>
      <c r="BU45" s="123" t="str">
        <f>BIN2HEX(CONCATENATE(BU44,BV44,BW44,BX44,BY44,BZ44,CA44,CB44),2)</f>
        <v>00</v>
      </c>
      <c r="BV45" s="124"/>
      <c r="BW45" s="124"/>
      <c r="BX45" s="124"/>
      <c r="BY45" s="124"/>
      <c r="BZ45" s="124"/>
      <c r="CA45" s="124"/>
      <c r="CB45" s="125"/>
      <c r="CC45" s="123" t="str">
        <f>BIN2HEX(CONCATENATE(CC44,CD44,CE44,CF44,CG44,CH44,CI44,CJ44),2)</f>
        <v>00</v>
      </c>
      <c r="CD45" s="124"/>
      <c r="CE45" s="124"/>
      <c r="CF45" s="124"/>
      <c r="CG45" s="124"/>
      <c r="CH45" s="124"/>
      <c r="CI45" s="124"/>
      <c r="CJ45" s="125"/>
    </row>
    <row r="46" spans="1:88">
      <c r="A46" s="135" t="s">
        <v>19</v>
      </c>
      <c r="B46" s="32">
        <v>0</v>
      </c>
      <c r="C46" s="32">
        <v>0</v>
      </c>
      <c r="D46" s="32">
        <v>0</v>
      </c>
      <c r="E46" s="32">
        <v>0</v>
      </c>
      <c r="F46" s="32">
        <v>0</v>
      </c>
      <c r="G46" s="32">
        <v>0</v>
      </c>
      <c r="H46" s="32">
        <v>0</v>
      </c>
      <c r="I46" s="32">
        <v>0</v>
      </c>
      <c r="J46" s="32">
        <v>0</v>
      </c>
      <c r="K46" s="32">
        <v>0</v>
      </c>
      <c r="L46" s="32">
        <v>0</v>
      </c>
      <c r="M46" s="32">
        <v>0</v>
      </c>
      <c r="N46" s="32">
        <v>0</v>
      </c>
      <c r="O46" s="32">
        <v>0</v>
      </c>
      <c r="P46" s="32">
        <v>0</v>
      </c>
      <c r="Q46" s="32">
        <v>0</v>
      </c>
      <c r="R46" s="32">
        <v>0</v>
      </c>
      <c r="S46" s="32">
        <v>0</v>
      </c>
      <c r="T46" s="32">
        <v>0</v>
      </c>
      <c r="U46" s="32">
        <v>0</v>
      </c>
      <c r="V46" s="32">
        <v>0</v>
      </c>
      <c r="W46" s="32">
        <v>0</v>
      </c>
      <c r="X46" s="32">
        <v>0</v>
      </c>
      <c r="Y46" s="32">
        <v>0</v>
      </c>
      <c r="Z46" s="32">
        <v>0</v>
      </c>
      <c r="AA46" s="32">
        <v>0</v>
      </c>
      <c r="AB46" s="32">
        <v>0</v>
      </c>
      <c r="AC46" s="32">
        <v>0</v>
      </c>
      <c r="AD46" s="32">
        <v>0</v>
      </c>
      <c r="AE46" s="32">
        <v>0</v>
      </c>
      <c r="AF46" s="32">
        <v>0</v>
      </c>
      <c r="AG46" s="32">
        <v>0</v>
      </c>
      <c r="AH46" s="32">
        <v>0</v>
      </c>
      <c r="AI46" s="32">
        <v>0</v>
      </c>
      <c r="AJ46" s="32">
        <v>0</v>
      </c>
      <c r="AK46" s="32">
        <v>0</v>
      </c>
      <c r="AL46" s="32">
        <v>0</v>
      </c>
      <c r="AM46" s="32">
        <v>0</v>
      </c>
      <c r="AN46" s="32">
        <v>0</v>
      </c>
      <c r="AO46" s="32">
        <v>0</v>
      </c>
      <c r="AP46" s="32">
        <v>0</v>
      </c>
      <c r="AQ46" s="32">
        <v>0</v>
      </c>
      <c r="AR46" s="32">
        <v>0</v>
      </c>
      <c r="AS46" s="32">
        <v>0</v>
      </c>
      <c r="AT46" s="32">
        <v>0</v>
      </c>
      <c r="AU46" s="32">
        <v>0</v>
      </c>
      <c r="AV46" s="32">
        <v>0</v>
      </c>
      <c r="AW46" s="32">
        <v>0</v>
      </c>
      <c r="AX46" s="32">
        <v>0</v>
      </c>
      <c r="AY46" s="32">
        <v>0</v>
      </c>
      <c r="AZ46" s="32">
        <v>0</v>
      </c>
      <c r="BA46" s="32">
        <v>0</v>
      </c>
      <c r="BB46" s="32">
        <v>0</v>
      </c>
      <c r="BC46" s="32">
        <v>0</v>
      </c>
      <c r="BD46" s="32">
        <v>0</v>
      </c>
      <c r="BE46" s="32">
        <v>0</v>
      </c>
      <c r="BF46" s="32">
        <v>0</v>
      </c>
      <c r="BG46" s="32">
        <v>0</v>
      </c>
      <c r="BH46" s="32">
        <v>0</v>
      </c>
      <c r="BI46" s="32">
        <v>0</v>
      </c>
      <c r="BJ46" s="32">
        <v>0</v>
      </c>
      <c r="BK46" s="32">
        <v>0</v>
      </c>
      <c r="BL46" s="32">
        <v>0</v>
      </c>
      <c r="BM46" s="32">
        <v>0</v>
      </c>
      <c r="BN46" s="32">
        <v>0</v>
      </c>
      <c r="BO46" s="32">
        <v>0</v>
      </c>
      <c r="BP46" s="32">
        <v>0</v>
      </c>
      <c r="BQ46" s="32">
        <v>0</v>
      </c>
      <c r="BR46" s="32">
        <v>0</v>
      </c>
      <c r="BS46" s="32">
        <v>0</v>
      </c>
      <c r="BT46" s="32">
        <v>0</v>
      </c>
      <c r="BU46" s="32">
        <v>0</v>
      </c>
      <c r="BV46" s="32">
        <v>0</v>
      </c>
      <c r="BW46" s="32">
        <v>0</v>
      </c>
      <c r="BX46" s="32">
        <v>0</v>
      </c>
      <c r="BY46" s="32">
        <v>0</v>
      </c>
      <c r="BZ46" s="32">
        <v>0</v>
      </c>
      <c r="CA46" s="32">
        <v>0</v>
      </c>
      <c r="CB46" s="32">
        <v>0</v>
      </c>
      <c r="CC46" s="32">
        <v>0</v>
      </c>
      <c r="CD46" s="32">
        <v>0</v>
      </c>
      <c r="CE46" s="32">
        <v>0</v>
      </c>
      <c r="CF46" s="32">
        <v>0</v>
      </c>
      <c r="CG46" s="32">
        <v>0</v>
      </c>
      <c r="CH46" s="32">
        <v>0</v>
      </c>
      <c r="CI46" s="32">
        <v>0</v>
      </c>
      <c r="CJ46" s="32">
        <v>0</v>
      </c>
    </row>
    <row r="47" spans="1:88" hidden="1">
      <c r="A47" s="136"/>
      <c r="B47" s="39" t="str">
        <f ca="1">DEC2HEX(B46,INDIRECT("'parameters recipe'!$C"&amp;B$27))</f>
        <v>0</v>
      </c>
      <c r="C47" s="39" t="e">
        <f t="shared" ref="C47:L47" ca="1" si="29">DEC2HEX(C46,INDIRECT("'parameters recipe'!$C"&amp;C$27))</f>
        <v>#NUM!</v>
      </c>
      <c r="D47" s="39" t="str">
        <f t="shared" ca="1" si="29"/>
        <v>0</v>
      </c>
      <c r="E47" s="39" t="e">
        <f t="shared" ca="1" si="29"/>
        <v>#NUM!</v>
      </c>
      <c r="F47" s="39" t="str">
        <f t="shared" ca="1" si="29"/>
        <v>0</v>
      </c>
      <c r="G47" s="39" t="e">
        <f t="shared" ca="1" si="29"/>
        <v>#NUM!</v>
      </c>
      <c r="H47" s="39" t="str">
        <f t="shared" ca="1" si="29"/>
        <v>0</v>
      </c>
      <c r="I47" s="39" t="e">
        <f t="shared" ca="1" si="29"/>
        <v>#NUM!</v>
      </c>
      <c r="J47" s="39" t="str">
        <f t="shared" ca="1" si="29"/>
        <v>0</v>
      </c>
      <c r="K47" s="39" t="e">
        <f t="shared" ca="1" si="29"/>
        <v>#NUM!</v>
      </c>
      <c r="L47" s="39" t="str">
        <f t="shared" ca="1" si="29"/>
        <v>0</v>
      </c>
      <c r="M47" s="123" t="str">
        <f>BIN2HEX(CONCATENATE(M46,N46,O46,P46,Q46,R46,S46,T46),2)</f>
        <v>00</v>
      </c>
      <c r="N47" s="124"/>
      <c r="O47" s="124"/>
      <c r="P47" s="124"/>
      <c r="Q47" s="124"/>
      <c r="R47" s="124"/>
      <c r="S47" s="124"/>
      <c r="T47" s="125"/>
      <c r="U47" s="39" t="e">
        <f t="shared" ref="U47:X47" ca="1" si="30">DEC2HEX(U46,INDIRECT("'parameters recipe'!$C"&amp;U$27))</f>
        <v>#NUM!</v>
      </c>
      <c r="V47" s="39" t="e">
        <f t="shared" ca="1" si="30"/>
        <v>#NUM!</v>
      </c>
      <c r="W47" s="39" t="e">
        <f t="shared" ca="1" si="30"/>
        <v>#NUM!</v>
      </c>
      <c r="X47" s="39" t="e">
        <f t="shared" ca="1" si="30"/>
        <v>#NUM!</v>
      </c>
      <c r="Y47" s="123" t="str">
        <f>BIN2HEX(CONCATENATE(Y46,Z46,AA46,AB46,AC46,AD46,AE46,AF46),2)</f>
        <v>00</v>
      </c>
      <c r="Z47" s="124"/>
      <c r="AA47" s="124"/>
      <c r="AB47" s="124"/>
      <c r="AC47" s="124"/>
      <c r="AD47" s="124"/>
      <c r="AE47" s="124"/>
      <c r="AF47" s="125"/>
      <c r="AG47" s="123" t="str">
        <f>BIN2HEX(CONCATENATE(AG46,AH46,AI46,AJ46,AK46,AL46,AM46,AN46),2)</f>
        <v>00</v>
      </c>
      <c r="AH47" s="124"/>
      <c r="AI47" s="124"/>
      <c r="AJ47" s="124"/>
      <c r="AK47" s="124"/>
      <c r="AL47" s="124"/>
      <c r="AM47" s="124"/>
      <c r="AN47" s="125"/>
      <c r="AO47" s="123" t="str">
        <f>BIN2HEX(CONCATENATE(AO46,AP46,AQ46,AR46,AS46,AT46,AU46,AV46),2)</f>
        <v>00</v>
      </c>
      <c r="AP47" s="124"/>
      <c r="AQ47" s="124"/>
      <c r="AR47" s="124"/>
      <c r="AS47" s="124"/>
      <c r="AT47" s="124"/>
      <c r="AU47" s="124"/>
      <c r="AV47" s="125"/>
      <c r="AW47" s="123" t="str">
        <f>BIN2HEX(CONCATENATE(AW46,AX46,AY46,AZ46,BA46,BB46,BC46,BD46),2)</f>
        <v>00</v>
      </c>
      <c r="AX47" s="124"/>
      <c r="AY47" s="124"/>
      <c r="AZ47" s="124"/>
      <c r="BA47" s="124"/>
      <c r="BB47" s="124"/>
      <c r="BC47" s="124"/>
      <c r="BD47" s="125"/>
      <c r="BE47" s="123" t="str">
        <f>BIN2HEX(CONCATENATE(BE46,BF46,BG46,BH46,BI46,BJ46,BK46,BL46),2)</f>
        <v>00</v>
      </c>
      <c r="BF47" s="124"/>
      <c r="BG47" s="124"/>
      <c r="BH47" s="124"/>
      <c r="BI47" s="124"/>
      <c r="BJ47" s="124"/>
      <c r="BK47" s="124"/>
      <c r="BL47" s="125"/>
      <c r="BM47" s="123" t="str">
        <f>BIN2HEX(CONCATENATE(BM46,BN46,BO46,BP46,BQ46,BR46,BS46,BT46),2)</f>
        <v>00</v>
      </c>
      <c r="BN47" s="124"/>
      <c r="BO47" s="124"/>
      <c r="BP47" s="124"/>
      <c r="BQ47" s="124"/>
      <c r="BR47" s="124"/>
      <c r="BS47" s="124"/>
      <c r="BT47" s="125"/>
      <c r="BU47" s="123" t="str">
        <f>BIN2HEX(CONCATENATE(BU46,BV46,BW46,BX46,BY46,BZ46,CA46,CB46),2)</f>
        <v>00</v>
      </c>
      <c r="BV47" s="124"/>
      <c r="BW47" s="124"/>
      <c r="BX47" s="124"/>
      <c r="BY47" s="124"/>
      <c r="BZ47" s="124"/>
      <c r="CA47" s="124"/>
      <c r="CB47" s="125"/>
      <c r="CC47" s="123" t="str">
        <f>BIN2HEX(CONCATENATE(CC46,CD46,CE46,CF46,CG46,CH46,CI46,CJ46),2)</f>
        <v>00</v>
      </c>
      <c r="CD47" s="124"/>
      <c r="CE47" s="124"/>
      <c r="CF47" s="124"/>
      <c r="CG47" s="124"/>
      <c r="CH47" s="124"/>
      <c r="CI47" s="124"/>
      <c r="CJ47" s="125"/>
    </row>
    <row r="48" spans="1:88">
      <c r="A48" s="135" t="s">
        <v>20</v>
      </c>
      <c r="B48" s="32">
        <v>0</v>
      </c>
      <c r="C48" s="32">
        <v>0</v>
      </c>
      <c r="D48" s="32">
        <v>0</v>
      </c>
      <c r="E48" s="32">
        <v>0</v>
      </c>
      <c r="F48" s="32">
        <v>0</v>
      </c>
      <c r="G48" s="32">
        <v>0</v>
      </c>
      <c r="H48" s="32">
        <v>0</v>
      </c>
      <c r="I48" s="32">
        <v>0</v>
      </c>
      <c r="J48" s="32">
        <v>0</v>
      </c>
      <c r="K48" s="32">
        <v>0</v>
      </c>
      <c r="L48" s="32">
        <v>0</v>
      </c>
      <c r="M48" s="32">
        <v>0</v>
      </c>
      <c r="N48" s="32">
        <v>0</v>
      </c>
      <c r="O48" s="32">
        <v>0</v>
      </c>
      <c r="P48" s="32">
        <v>0</v>
      </c>
      <c r="Q48" s="32">
        <v>0</v>
      </c>
      <c r="R48" s="32">
        <v>0</v>
      </c>
      <c r="S48" s="32">
        <v>0</v>
      </c>
      <c r="T48" s="32">
        <v>0</v>
      </c>
      <c r="U48" s="32">
        <v>0</v>
      </c>
      <c r="V48" s="32">
        <v>0</v>
      </c>
      <c r="W48" s="32">
        <v>0</v>
      </c>
      <c r="X48" s="32">
        <v>0</v>
      </c>
      <c r="Y48" s="32">
        <v>0</v>
      </c>
      <c r="Z48" s="32">
        <v>0</v>
      </c>
      <c r="AA48" s="32">
        <v>0</v>
      </c>
      <c r="AB48" s="32">
        <v>0</v>
      </c>
      <c r="AC48" s="32">
        <v>0</v>
      </c>
      <c r="AD48" s="32">
        <v>0</v>
      </c>
      <c r="AE48" s="32">
        <v>0</v>
      </c>
      <c r="AF48" s="32">
        <v>0</v>
      </c>
      <c r="AG48" s="32">
        <v>0</v>
      </c>
      <c r="AH48" s="32">
        <v>0</v>
      </c>
      <c r="AI48" s="32">
        <v>0</v>
      </c>
      <c r="AJ48" s="32">
        <v>0</v>
      </c>
      <c r="AK48" s="32">
        <v>0</v>
      </c>
      <c r="AL48" s="32">
        <v>0</v>
      </c>
      <c r="AM48" s="32">
        <v>0</v>
      </c>
      <c r="AN48" s="32">
        <v>0</v>
      </c>
      <c r="AO48" s="32">
        <v>0</v>
      </c>
      <c r="AP48" s="32">
        <v>0</v>
      </c>
      <c r="AQ48" s="32">
        <v>0</v>
      </c>
      <c r="AR48" s="32">
        <v>0</v>
      </c>
      <c r="AS48" s="32">
        <v>0</v>
      </c>
      <c r="AT48" s="32">
        <v>0</v>
      </c>
      <c r="AU48" s="32">
        <v>0</v>
      </c>
      <c r="AV48" s="32">
        <v>0</v>
      </c>
      <c r="AW48" s="32">
        <v>0</v>
      </c>
      <c r="AX48" s="32">
        <v>0</v>
      </c>
      <c r="AY48" s="32">
        <v>0</v>
      </c>
      <c r="AZ48" s="32">
        <v>0</v>
      </c>
      <c r="BA48" s="32">
        <v>0</v>
      </c>
      <c r="BB48" s="32">
        <v>0</v>
      </c>
      <c r="BC48" s="32">
        <v>0</v>
      </c>
      <c r="BD48" s="32">
        <v>0</v>
      </c>
      <c r="BE48" s="32">
        <v>0</v>
      </c>
      <c r="BF48" s="32">
        <v>0</v>
      </c>
      <c r="BG48" s="32">
        <v>0</v>
      </c>
      <c r="BH48" s="32">
        <v>0</v>
      </c>
      <c r="BI48" s="32">
        <v>0</v>
      </c>
      <c r="BJ48" s="32">
        <v>0</v>
      </c>
      <c r="BK48" s="32">
        <v>0</v>
      </c>
      <c r="BL48" s="32">
        <v>0</v>
      </c>
      <c r="BM48" s="32">
        <v>0</v>
      </c>
      <c r="BN48" s="32">
        <v>0</v>
      </c>
      <c r="BO48" s="32">
        <v>0</v>
      </c>
      <c r="BP48" s="32">
        <v>0</v>
      </c>
      <c r="BQ48" s="32">
        <v>0</v>
      </c>
      <c r="BR48" s="32">
        <v>0</v>
      </c>
      <c r="BS48" s="32">
        <v>0</v>
      </c>
      <c r="BT48" s="32">
        <v>0</v>
      </c>
      <c r="BU48" s="32">
        <v>0</v>
      </c>
      <c r="BV48" s="32">
        <v>0</v>
      </c>
      <c r="BW48" s="32">
        <v>0</v>
      </c>
      <c r="BX48" s="32">
        <v>0</v>
      </c>
      <c r="BY48" s="32">
        <v>0</v>
      </c>
      <c r="BZ48" s="32">
        <v>0</v>
      </c>
      <c r="CA48" s="32">
        <v>0</v>
      </c>
      <c r="CB48" s="32">
        <v>0</v>
      </c>
      <c r="CC48" s="32">
        <v>0</v>
      </c>
      <c r="CD48" s="32">
        <v>0</v>
      </c>
      <c r="CE48" s="32">
        <v>0</v>
      </c>
      <c r="CF48" s="32">
        <v>0</v>
      </c>
      <c r="CG48" s="32">
        <v>0</v>
      </c>
      <c r="CH48" s="32">
        <v>0</v>
      </c>
      <c r="CI48" s="32">
        <v>0</v>
      </c>
      <c r="CJ48" s="32">
        <v>0</v>
      </c>
    </row>
    <row r="49" spans="1:88" hidden="1">
      <c r="A49" s="136"/>
      <c r="B49" s="39" t="str">
        <f ca="1">DEC2HEX(B48,INDIRECT("'parameters recipe'!$C"&amp;B$27))</f>
        <v>0</v>
      </c>
      <c r="C49" s="39" t="e">
        <f t="shared" ref="C49:L49" ca="1" si="31">DEC2HEX(C48,INDIRECT("'parameters recipe'!$C"&amp;C$27))</f>
        <v>#NUM!</v>
      </c>
      <c r="D49" s="39" t="str">
        <f t="shared" ca="1" si="31"/>
        <v>0</v>
      </c>
      <c r="E49" s="39" t="e">
        <f t="shared" ca="1" si="31"/>
        <v>#NUM!</v>
      </c>
      <c r="F49" s="39" t="str">
        <f t="shared" ca="1" si="31"/>
        <v>0</v>
      </c>
      <c r="G49" s="39" t="e">
        <f t="shared" ca="1" si="31"/>
        <v>#NUM!</v>
      </c>
      <c r="H49" s="39" t="str">
        <f t="shared" ca="1" si="31"/>
        <v>0</v>
      </c>
      <c r="I49" s="39" t="e">
        <f t="shared" ca="1" si="31"/>
        <v>#NUM!</v>
      </c>
      <c r="J49" s="39" t="str">
        <f t="shared" ca="1" si="31"/>
        <v>0</v>
      </c>
      <c r="K49" s="39" t="e">
        <f t="shared" ca="1" si="31"/>
        <v>#NUM!</v>
      </c>
      <c r="L49" s="39" t="str">
        <f t="shared" ca="1" si="31"/>
        <v>0</v>
      </c>
      <c r="M49" s="123" t="str">
        <f>BIN2HEX(CONCATENATE(M48,N48,O48,P48,Q48,R48,S48,T48),2)</f>
        <v>00</v>
      </c>
      <c r="N49" s="124"/>
      <c r="O49" s="124"/>
      <c r="P49" s="124"/>
      <c r="Q49" s="124"/>
      <c r="R49" s="124"/>
      <c r="S49" s="124"/>
      <c r="T49" s="125"/>
      <c r="U49" s="39" t="e">
        <f t="shared" ref="U49:X49" ca="1" si="32">DEC2HEX(U48,INDIRECT("'parameters recipe'!$C"&amp;U$27))</f>
        <v>#NUM!</v>
      </c>
      <c r="V49" s="39" t="e">
        <f t="shared" ca="1" si="32"/>
        <v>#NUM!</v>
      </c>
      <c r="W49" s="39" t="e">
        <f t="shared" ca="1" si="32"/>
        <v>#NUM!</v>
      </c>
      <c r="X49" s="39" t="e">
        <f t="shared" ca="1" si="32"/>
        <v>#NUM!</v>
      </c>
      <c r="Y49" s="123" t="str">
        <f>BIN2HEX(CONCATENATE(Y48,Z48,AA48,AB48,AC48,AD48,AE48,AF48),2)</f>
        <v>00</v>
      </c>
      <c r="Z49" s="124"/>
      <c r="AA49" s="124"/>
      <c r="AB49" s="124"/>
      <c r="AC49" s="124"/>
      <c r="AD49" s="124"/>
      <c r="AE49" s="124"/>
      <c r="AF49" s="125"/>
      <c r="AG49" s="123" t="str">
        <f>BIN2HEX(CONCATENATE(AG48,AH48,AI48,AJ48,AK48,AL48,AM48,AN48),2)</f>
        <v>00</v>
      </c>
      <c r="AH49" s="124"/>
      <c r="AI49" s="124"/>
      <c r="AJ49" s="124"/>
      <c r="AK49" s="124"/>
      <c r="AL49" s="124"/>
      <c r="AM49" s="124"/>
      <c r="AN49" s="125"/>
      <c r="AO49" s="123" t="str">
        <f>BIN2HEX(CONCATENATE(AO48,AP48,AQ48,AR48,AS48,AT48,AU48,AV48),2)</f>
        <v>00</v>
      </c>
      <c r="AP49" s="124"/>
      <c r="AQ49" s="124"/>
      <c r="AR49" s="124"/>
      <c r="AS49" s="124"/>
      <c r="AT49" s="124"/>
      <c r="AU49" s="124"/>
      <c r="AV49" s="125"/>
      <c r="AW49" s="123" t="str">
        <f>BIN2HEX(CONCATENATE(AW48,AX48,AY48,AZ48,BA48,BB48,BC48,BD48),2)</f>
        <v>00</v>
      </c>
      <c r="AX49" s="124"/>
      <c r="AY49" s="124"/>
      <c r="AZ49" s="124"/>
      <c r="BA49" s="124"/>
      <c r="BB49" s="124"/>
      <c r="BC49" s="124"/>
      <c r="BD49" s="125"/>
      <c r="BE49" s="123" t="str">
        <f>BIN2HEX(CONCATENATE(BE48,BF48,BG48,BH48,BI48,BJ48,BK48,BL48),2)</f>
        <v>00</v>
      </c>
      <c r="BF49" s="124"/>
      <c r="BG49" s="124"/>
      <c r="BH49" s="124"/>
      <c r="BI49" s="124"/>
      <c r="BJ49" s="124"/>
      <c r="BK49" s="124"/>
      <c r="BL49" s="125"/>
      <c r="BM49" s="123" t="str">
        <f>BIN2HEX(CONCATENATE(BM48,BN48,BO48,BP48,BQ48,BR48,BS48,BT48),2)</f>
        <v>00</v>
      </c>
      <c r="BN49" s="124"/>
      <c r="BO49" s="124"/>
      <c r="BP49" s="124"/>
      <c r="BQ49" s="124"/>
      <c r="BR49" s="124"/>
      <c r="BS49" s="124"/>
      <c r="BT49" s="125"/>
      <c r="BU49" s="123" t="str">
        <f>BIN2HEX(CONCATENATE(BU48,BV48,BW48,BX48,BY48,BZ48,CA48,CB48),2)</f>
        <v>00</v>
      </c>
      <c r="BV49" s="124"/>
      <c r="BW49" s="124"/>
      <c r="BX49" s="124"/>
      <c r="BY49" s="124"/>
      <c r="BZ49" s="124"/>
      <c r="CA49" s="124"/>
      <c r="CB49" s="125"/>
      <c r="CC49" s="123" t="str">
        <f>BIN2HEX(CONCATENATE(CC48,CD48,CE48,CF48,CG48,CH48,CI48,CJ48),2)</f>
        <v>00</v>
      </c>
      <c r="CD49" s="124"/>
      <c r="CE49" s="124"/>
      <c r="CF49" s="124"/>
      <c r="CG49" s="124"/>
      <c r="CH49" s="124"/>
      <c r="CI49" s="124"/>
      <c r="CJ49" s="125"/>
    </row>
    <row r="50" spans="1:88">
      <c r="A50" s="135" t="s">
        <v>22</v>
      </c>
      <c r="B50" s="32">
        <v>0</v>
      </c>
      <c r="C50" s="32">
        <v>0</v>
      </c>
      <c r="D50" s="32">
        <v>0</v>
      </c>
      <c r="E50" s="32">
        <v>0</v>
      </c>
      <c r="F50" s="32">
        <v>0</v>
      </c>
      <c r="G50" s="32">
        <v>0</v>
      </c>
      <c r="H50" s="32">
        <v>0</v>
      </c>
      <c r="I50" s="32">
        <v>0</v>
      </c>
      <c r="J50" s="32">
        <v>0</v>
      </c>
      <c r="K50" s="32">
        <v>0</v>
      </c>
      <c r="L50" s="32">
        <v>0</v>
      </c>
      <c r="M50" s="32">
        <v>0</v>
      </c>
      <c r="N50" s="32">
        <v>0</v>
      </c>
      <c r="O50" s="32">
        <v>0</v>
      </c>
      <c r="P50" s="32">
        <v>0</v>
      </c>
      <c r="Q50" s="32">
        <v>0</v>
      </c>
      <c r="R50" s="32">
        <v>0</v>
      </c>
      <c r="S50" s="32">
        <v>0</v>
      </c>
      <c r="T50" s="32">
        <v>0</v>
      </c>
      <c r="U50" s="32">
        <v>0</v>
      </c>
      <c r="V50" s="32">
        <v>0</v>
      </c>
      <c r="W50" s="32">
        <v>0</v>
      </c>
      <c r="X50" s="32">
        <v>0</v>
      </c>
      <c r="Y50" s="32">
        <v>0</v>
      </c>
      <c r="Z50" s="32">
        <v>0</v>
      </c>
      <c r="AA50" s="32">
        <v>0</v>
      </c>
      <c r="AB50" s="32">
        <v>0</v>
      </c>
      <c r="AC50" s="32">
        <v>0</v>
      </c>
      <c r="AD50" s="32">
        <v>0</v>
      </c>
      <c r="AE50" s="32">
        <v>0</v>
      </c>
      <c r="AF50" s="32">
        <v>0</v>
      </c>
      <c r="AG50" s="32">
        <v>0</v>
      </c>
      <c r="AH50" s="32">
        <v>0</v>
      </c>
      <c r="AI50" s="32">
        <v>0</v>
      </c>
      <c r="AJ50" s="32">
        <v>0</v>
      </c>
      <c r="AK50" s="32">
        <v>0</v>
      </c>
      <c r="AL50" s="32">
        <v>0</v>
      </c>
      <c r="AM50" s="32">
        <v>0</v>
      </c>
      <c r="AN50" s="32">
        <v>0</v>
      </c>
      <c r="AO50" s="32">
        <v>0</v>
      </c>
      <c r="AP50" s="32">
        <v>0</v>
      </c>
      <c r="AQ50" s="32">
        <v>0</v>
      </c>
      <c r="AR50" s="32">
        <v>0</v>
      </c>
      <c r="AS50" s="32">
        <v>0</v>
      </c>
      <c r="AT50" s="32">
        <v>0</v>
      </c>
      <c r="AU50" s="32">
        <v>0</v>
      </c>
      <c r="AV50" s="32">
        <v>0</v>
      </c>
      <c r="AW50" s="32">
        <v>0</v>
      </c>
      <c r="AX50" s="32">
        <v>0</v>
      </c>
      <c r="AY50" s="32">
        <v>0</v>
      </c>
      <c r="AZ50" s="32">
        <v>0</v>
      </c>
      <c r="BA50" s="32">
        <v>0</v>
      </c>
      <c r="BB50" s="32">
        <v>0</v>
      </c>
      <c r="BC50" s="32">
        <v>0</v>
      </c>
      <c r="BD50" s="32">
        <v>0</v>
      </c>
      <c r="BE50" s="32">
        <v>0</v>
      </c>
      <c r="BF50" s="32">
        <v>0</v>
      </c>
      <c r="BG50" s="32">
        <v>0</v>
      </c>
      <c r="BH50" s="32">
        <v>0</v>
      </c>
      <c r="BI50" s="32">
        <v>0</v>
      </c>
      <c r="BJ50" s="32">
        <v>0</v>
      </c>
      <c r="BK50" s="32">
        <v>0</v>
      </c>
      <c r="BL50" s="32">
        <v>0</v>
      </c>
      <c r="BM50" s="32">
        <v>0</v>
      </c>
      <c r="BN50" s="32">
        <v>0</v>
      </c>
      <c r="BO50" s="32">
        <v>0</v>
      </c>
      <c r="BP50" s="32">
        <v>0</v>
      </c>
      <c r="BQ50" s="32">
        <v>0</v>
      </c>
      <c r="BR50" s="32">
        <v>0</v>
      </c>
      <c r="BS50" s="32">
        <v>0</v>
      </c>
      <c r="BT50" s="32">
        <v>0</v>
      </c>
      <c r="BU50" s="32">
        <v>0</v>
      </c>
      <c r="BV50" s="32">
        <v>0</v>
      </c>
      <c r="BW50" s="32">
        <v>0</v>
      </c>
      <c r="BX50" s="32">
        <v>0</v>
      </c>
      <c r="BY50" s="32">
        <v>0</v>
      </c>
      <c r="BZ50" s="32">
        <v>0</v>
      </c>
      <c r="CA50" s="32">
        <v>0</v>
      </c>
      <c r="CB50" s="32">
        <v>0</v>
      </c>
      <c r="CC50" s="32">
        <v>0</v>
      </c>
      <c r="CD50" s="32">
        <v>0</v>
      </c>
      <c r="CE50" s="32">
        <v>0</v>
      </c>
      <c r="CF50" s="32">
        <v>0</v>
      </c>
      <c r="CG50" s="32">
        <v>0</v>
      </c>
      <c r="CH50" s="32">
        <v>0</v>
      </c>
      <c r="CI50" s="32">
        <v>0</v>
      </c>
      <c r="CJ50" s="32">
        <v>0</v>
      </c>
    </row>
    <row r="51" spans="1:88" hidden="1">
      <c r="A51" s="136"/>
      <c r="B51" s="39" t="str">
        <f ca="1">DEC2HEX(B50,INDIRECT("'parameters recipe'!$C"&amp;B$27))</f>
        <v>0</v>
      </c>
      <c r="C51" s="39" t="e">
        <f t="shared" ref="C51:L51" ca="1" si="33">DEC2HEX(C50,INDIRECT("'parameters recipe'!$C"&amp;C$27))</f>
        <v>#NUM!</v>
      </c>
      <c r="D51" s="39" t="str">
        <f t="shared" ca="1" si="33"/>
        <v>0</v>
      </c>
      <c r="E51" s="39" t="e">
        <f t="shared" ca="1" si="33"/>
        <v>#NUM!</v>
      </c>
      <c r="F51" s="39" t="str">
        <f t="shared" ca="1" si="33"/>
        <v>0</v>
      </c>
      <c r="G51" s="39" t="e">
        <f t="shared" ca="1" si="33"/>
        <v>#NUM!</v>
      </c>
      <c r="H51" s="39" t="str">
        <f t="shared" ca="1" si="33"/>
        <v>0</v>
      </c>
      <c r="I51" s="39" t="e">
        <f t="shared" ca="1" si="33"/>
        <v>#NUM!</v>
      </c>
      <c r="J51" s="39" t="str">
        <f t="shared" ca="1" si="33"/>
        <v>0</v>
      </c>
      <c r="K51" s="39" t="e">
        <f t="shared" ca="1" si="33"/>
        <v>#NUM!</v>
      </c>
      <c r="L51" s="39" t="str">
        <f t="shared" ca="1" si="33"/>
        <v>0</v>
      </c>
      <c r="M51" s="123" t="str">
        <f>BIN2HEX(CONCATENATE(M50,N50,O50,P50,Q50,R50,S50,T50),2)</f>
        <v>00</v>
      </c>
      <c r="N51" s="124"/>
      <c r="O51" s="124"/>
      <c r="P51" s="124"/>
      <c r="Q51" s="124"/>
      <c r="R51" s="124"/>
      <c r="S51" s="124"/>
      <c r="T51" s="125"/>
      <c r="U51" s="39" t="e">
        <f t="shared" ref="U51:X51" ca="1" si="34">DEC2HEX(U50,INDIRECT("'parameters recipe'!$C"&amp;U$27))</f>
        <v>#NUM!</v>
      </c>
      <c r="V51" s="39" t="e">
        <f t="shared" ca="1" si="34"/>
        <v>#NUM!</v>
      </c>
      <c r="W51" s="39" t="e">
        <f t="shared" ca="1" si="34"/>
        <v>#NUM!</v>
      </c>
      <c r="X51" s="39" t="e">
        <f t="shared" ca="1" si="34"/>
        <v>#NUM!</v>
      </c>
      <c r="Y51" s="123" t="str">
        <f>BIN2HEX(CONCATENATE(Y50,Z50,AA50,AB50,AC50,AD50,AE50,AF50),2)</f>
        <v>00</v>
      </c>
      <c r="Z51" s="124"/>
      <c r="AA51" s="124"/>
      <c r="AB51" s="124"/>
      <c r="AC51" s="124"/>
      <c r="AD51" s="124"/>
      <c r="AE51" s="124"/>
      <c r="AF51" s="125"/>
      <c r="AG51" s="123" t="str">
        <f>BIN2HEX(CONCATENATE(AG50,AH50,AI50,AJ50,AK50,AL50,AM50,AN50),2)</f>
        <v>00</v>
      </c>
      <c r="AH51" s="124"/>
      <c r="AI51" s="124"/>
      <c r="AJ51" s="124"/>
      <c r="AK51" s="124"/>
      <c r="AL51" s="124"/>
      <c r="AM51" s="124"/>
      <c r="AN51" s="125"/>
      <c r="AO51" s="123" t="str">
        <f>BIN2HEX(CONCATENATE(AO50,AP50,AQ50,AR50,AS50,AT50,AU50,AV50),2)</f>
        <v>00</v>
      </c>
      <c r="AP51" s="124"/>
      <c r="AQ51" s="124"/>
      <c r="AR51" s="124"/>
      <c r="AS51" s="124"/>
      <c r="AT51" s="124"/>
      <c r="AU51" s="124"/>
      <c r="AV51" s="125"/>
      <c r="AW51" s="123" t="str">
        <f>BIN2HEX(CONCATENATE(AW50,AX50,AY50,AZ50,BA50,BB50,BC50,BD50),2)</f>
        <v>00</v>
      </c>
      <c r="AX51" s="124"/>
      <c r="AY51" s="124"/>
      <c r="AZ51" s="124"/>
      <c r="BA51" s="124"/>
      <c r="BB51" s="124"/>
      <c r="BC51" s="124"/>
      <c r="BD51" s="125"/>
      <c r="BE51" s="123" t="str">
        <f>BIN2HEX(CONCATENATE(BE50,BF50,BG50,BH50,BI50,BJ50,BK50,BL50),2)</f>
        <v>00</v>
      </c>
      <c r="BF51" s="124"/>
      <c r="BG51" s="124"/>
      <c r="BH51" s="124"/>
      <c r="BI51" s="124"/>
      <c r="BJ51" s="124"/>
      <c r="BK51" s="124"/>
      <c r="BL51" s="125"/>
      <c r="BM51" s="123" t="str">
        <f>BIN2HEX(CONCATENATE(BM50,BN50,BO50,BP50,BQ50,BR50,BS50,BT50),2)</f>
        <v>00</v>
      </c>
      <c r="BN51" s="124"/>
      <c r="BO51" s="124"/>
      <c r="BP51" s="124"/>
      <c r="BQ51" s="124"/>
      <c r="BR51" s="124"/>
      <c r="BS51" s="124"/>
      <c r="BT51" s="125"/>
      <c r="BU51" s="123" t="str">
        <f>BIN2HEX(CONCATENATE(BU50,BV50,BW50,BX50,BY50,BZ50,CA50,CB50),2)</f>
        <v>00</v>
      </c>
      <c r="BV51" s="124"/>
      <c r="BW51" s="124"/>
      <c r="BX51" s="124"/>
      <c r="BY51" s="124"/>
      <c r="BZ51" s="124"/>
      <c r="CA51" s="124"/>
      <c r="CB51" s="125"/>
      <c r="CC51" s="123" t="str">
        <f>BIN2HEX(CONCATENATE(CC50,CD50,CE50,CF50,CG50,CH50,CI50,CJ50),2)</f>
        <v>00</v>
      </c>
      <c r="CD51" s="124"/>
      <c r="CE51" s="124"/>
      <c r="CF51" s="124"/>
      <c r="CG51" s="124"/>
      <c r="CH51" s="124"/>
      <c r="CI51" s="124"/>
      <c r="CJ51" s="125"/>
    </row>
    <row r="52" spans="1:88">
      <c r="A52" s="135" t="s">
        <v>23</v>
      </c>
      <c r="B52" s="32">
        <v>0</v>
      </c>
      <c r="C52" s="32">
        <v>0</v>
      </c>
      <c r="D52" s="32">
        <v>0</v>
      </c>
      <c r="E52" s="32">
        <v>0</v>
      </c>
      <c r="F52" s="32">
        <v>0</v>
      </c>
      <c r="G52" s="32">
        <v>0</v>
      </c>
      <c r="H52" s="32">
        <v>0</v>
      </c>
      <c r="I52" s="32">
        <v>0</v>
      </c>
      <c r="J52" s="32">
        <v>0</v>
      </c>
      <c r="K52" s="32">
        <v>0</v>
      </c>
      <c r="L52" s="32">
        <v>0</v>
      </c>
      <c r="M52" s="32">
        <v>0</v>
      </c>
      <c r="N52" s="32">
        <v>0</v>
      </c>
      <c r="O52" s="32">
        <v>0</v>
      </c>
      <c r="P52" s="32">
        <v>0</v>
      </c>
      <c r="Q52" s="32">
        <v>0</v>
      </c>
      <c r="R52" s="32">
        <v>0</v>
      </c>
      <c r="S52" s="32">
        <v>0</v>
      </c>
      <c r="T52" s="32">
        <v>0</v>
      </c>
      <c r="U52" s="32">
        <v>0</v>
      </c>
      <c r="V52" s="32">
        <v>0</v>
      </c>
      <c r="W52" s="32">
        <v>0</v>
      </c>
      <c r="X52" s="32">
        <v>0</v>
      </c>
      <c r="Y52" s="32">
        <v>0</v>
      </c>
      <c r="Z52" s="32">
        <v>0</v>
      </c>
      <c r="AA52" s="32">
        <v>0</v>
      </c>
      <c r="AB52" s="32">
        <v>0</v>
      </c>
      <c r="AC52" s="32">
        <v>0</v>
      </c>
      <c r="AD52" s="32">
        <v>0</v>
      </c>
      <c r="AE52" s="32">
        <v>0</v>
      </c>
      <c r="AF52" s="32">
        <v>0</v>
      </c>
      <c r="AG52" s="32">
        <v>0</v>
      </c>
      <c r="AH52" s="32">
        <v>0</v>
      </c>
      <c r="AI52" s="32">
        <v>0</v>
      </c>
      <c r="AJ52" s="32">
        <v>0</v>
      </c>
      <c r="AK52" s="32">
        <v>0</v>
      </c>
      <c r="AL52" s="32">
        <v>0</v>
      </c>
      <c r="AM52" s="32">
        <v>0</v>
      </c>
      <c r="AN52" s="32">
        <v>0</v>
      </c>
      <c r="AO52" s="32">
        <v>0</v>
      </c>
      <c r="AP52" s="32">
        <v>0</v>
      </c>
      <c r="AQ52" s="32">
        <v>0</v>
      </c>
      <c r="AR52" s="32">
        <v>0</v>
      </c>
      <c r="AS52" s="32">
        <v>0</v>
      </c>
      <c r="AT52" s="32">
        <v>0</v>
      </c>
      <c r="AU52" s="32">
        <v>0</v>
      </c>
      <c r="AV52" s="32">
        <v>0</v>
      </c>
      <c r="AW52" s="32">
        <v>0</v>
      </c>
      <c r="AX52" s="32">
        <v>0</v>
      </c>
      <c r="AY52" s="32">
        <v>0</v>
      </c>
      <c r="AZ52" s="32">
        <v>0</v>
      </c>
      <c r="BA52" s="32">
        <v>0</v>
      </c>
      <c r="BB52" s="32">
        <v>0</v>
      </c>
      <c r="BC52" s="32">
        <v>0</v>
      </c>
      <c r="BD52" s="32">
        <v>0</v>
      </c>
      <c r="BE52" s="32">
        <v>0</v>
      </c>
      <c r="BF52" s="32">
        <v>0</v>
      </c>
      <c r="BG52" s="32">
        <v>0</v>
      </c>
      <c r="BH52" s="32">
        <v>0</v>
      </c>
      <c r="BI52" s="32">
        <v>0</v>
      </c>
      <c r="BJ52" s="32">
        <v>0</v>
      </c>
      <c r="BK52" s="32">
        <v>0</v>
      </c>
      <c r="BL52" s="32">
        <v>0</v>
      </c>
      <c r="BM52" s="32">
        <v>0</v>
      </c>
      <c r="BN52" s="32">
        <v>0</v>
      </c>
      <c r="BO52" s="32">
        <v>0</v>
      </c>
      <c r="BP52" s="32">
        <v>0</v>
      </c>
      <c r="BQ52" s="32">
        <v>0</v>
      </c>
      <c r="BR52" s="32">
        <v>0</v>
      </c>
      <c r="BS52" s="32">
        <v>0</v>
      </c>
      <c r="BT52" s="32">
        <v>0</v>
      </c>
      <c r="BU52" s="32">
        <v>0</v>
      </c>
      <c r="BV52" s="32">
        <v>0</v>
      </c>
      <c r="BW52" s="32">
        <v>0</v>
      </c>
      <c r="BX52" s="32">
        <v>0</v>
      </c>
      <c r="BY52" s="32">
        <v>0</v>
      </c>
      <c r="BZ52" s="32">
        <v>0</v>
      </c>
      <c r="CA52" s="32">
        <v>0</v>
      </c>
      <c r="CB52" s="32">
        <v>0</v>
      </c>
      <c r="CC52" s="32">
        <v>0</v>
      </c>
      <c r="CD52" s="32">
        <v>0</v>
      </c>
      <c r="CE52" s="32">
        <v>0</v>
      </c>
      <c r="CF52" s="32">
        <v>0</v>
      </c>
      <c r="CG52" s="32">
        <v>0</v>
      </c>
      <c r="CH52" s="32">
        <v>0</v>
      </c>
      <c r="CI52" s="32">
        <v>0</v>
      </c>
      <c r="CJ52" s="32">
        <v>0</v>
      </c>
    </row>
    <row r="53" spans="1:88" hidden="1">
      <c r="A53" s="136"/>
      <c r="B53" s="39" t="str">
        <f ca="1">DEC2HEX(B52,INDIRECT("'parameters recipe'!$C"&amp;B$27))</f>
        <v>0</v>
      </c>
      <c r="C53" s="39" t="e">
        <f t="shared" ref="C53:L53" ca="1" si="35">DEC2HEX(C52,INDIRECT("'parameters recipe'!$C"&amp;C$27))</f>
        <v>#NUM!</v>
      </c>
      <c r="D53" s="39" t="str">
        <f t="shared" ca="1" si="35"/>
        <v>0</v>
      </c>
      <c r="E53" s="39" t="e">
        <f t="shared" ca="1" si="35"/>
        <v>#NUM!</v>
      </c>
      <c r="F53" s="39" t="str">
        <f t="shared" ca="1" si="35"/>
        <v>0</v>
      </c>
      <c r="G53" s="39" t="e">
        <f t="shared" ca="1" si="35"/>
        <v>#NUM!</v>
      </c>
      <c r="H53" s="39" t="str">
        <f t="shared" ca="1" si="35"/>
        <v>0</v>
      </c>
      <c r="I53" s="39" t="e">
        <f t="shared" ca="1" si="35"/>
        <v>#NUM!</v>
      </c>
      <c r="J53" s="39" t="str">
        <f t="shared" ca="1" si="35"/>
        <v>0</v>
      </c>
      <c r="K53" s="39" t="e">
        <f t="shared" ca="1" si="35"/>
        <v>#NUM!</v>
      </c>
      <c r="L53" s="39" t="str">
        <f t="shared" ca="1" si="35"/>
        <v>0</v>
      </c>
      <c r="M53" s="123" t="str">
        <f>BIN2HEX(CONCATENATE(M52,N52,O52,P52,Q52,R52,S52,T52),2)</f>
        <v>00</v>
      </c>
      <c r="N53" s="124"/>
      <c r="O53" s="124"/>
      <c r="P53" s="124"/>
      <c r="Q53" s="124"/>
      <c r="R53" s="124"/>
      <c r="S53" s="124"/>
      <c r="T53" s="125"/>
      <c r="U53" s="39" t="e">
        <f t="shared" ref="U53:X53" ca="1" si="36">DEC2HEX(U52,INDIRECT("'parameters recipe'!$C"&amp;U$27))</f>
        <v>#NUM!</v>
      </c>
      <c r="V53" s="39" t="e">
        <f t="shared" ca="1" si="36"/>
        <v>#NUM!</v>
      </c>
      <c r="W53" s="39" t="e">
        <f t="shared" ca="1" si="36"/>
        <v>#NUM!</v>
      </c>
      <c r="X53" s="39" t="e">
        <f t="shared" ca="1" si="36"/>
        <v>#NUM!</v>
      </c>
      <c r="Y53" s="123" t="str">
        <f>BIN2HEX(CONCATENATE(Y52,Z52,AA52,AB52,AC52,AD52,AE52,AF52),2)</f>
        <v>00</v>
      </c>
      <c r="Z53" s="124"/>
      <c r="AA53" s="124"/>
      <c r="AB53" s="124"/>
      <c r="AC53" s="124"/>
      <c r="AD53" s="124"/>
      <c r="AE53" s="124"/>
      <c r="AF53" s="125"/>
      <c r="AG53" s="123" t="str">
        <f>BIN2HEX(CONCATENATE(AG52,AH52,AI52,AJ52,AK52,AL52,AM52,AN52),2)</f>
        <v>00</v>
      </c>
      <c r="AH53" s="124"/>
      <c r="AI53" s="124"/>
      <c r="AJ53" s="124"/>
      <c r="AK53" s="124"/>
      <c r="AL53" s="124"/>
      <c r="AM53" s="124"/>
      <c r="AN53" s="125"/>
      <c r="AO53" s="123" t="str">
        <f>BIN2HEX(CONCATENATE(AO52,AP52,AQ52,AR52,AS52,AT52,AU52,AV52),2)</f>
        <v>00</v>
      </c>
      <c r="AP53" s="124"/>
      <c r="AQ53" s="124"/>
      <c r="AR53" s="124"/>
      <c r="AS53" s="124"/>
      <c r="AT53" s="124"/>
      <c r="AU53" s="124"/>
      <c r="AV53" s="125"/>
      <c r="AW53" s="123" t="str">
        <f>BIN2HEX(CONCATENATE(AW52,AX52,AY52,AZ52,BA52,BB52,BC52,BD52),2)</f>
        <v>00</v>
      </c>
      <c r="AX53" s="124"/>
      <c r="AY53" s="124"/>
      <c r="AZ53" s="124"/>
      <c r="BA53" s="124"/>
      <c r="BB53" s="124"/>
      <c r="BC53" s="124"/>
      <c r="BD53" s="125"/>
      <c r="BE53" s="123" t="str">
        <f>BIN2HEX(CONCATENATE(BE52,BF52,BG52,BH52,BI52,BJ52,BK52,BL52),2)</f>
        <v>00</v>
      </c>
      <c r="BF53" s="124"/>
      <c r="BG53" s="124"/>
      <c r="BH53" s="124"/>
      <c r="BI53" s="124"/>
      <c r="BJ53" s="124"/>
      <c r="BK53" s="124"/>
      <c r="BL53" s="125"/>
      <c r="BM53" s="123" t="str">
        <f>BIN2HEX(CONCATENATE(BM52,BN52,BO52,BP52,BQ52,BR52,BS52,BT52),2)</f>
        <v>00</v>
      </c>
      <c r="BN53" s="124"/>
      <c r="BO53" s="124"/>
      <c r="BP53" s="124"/>
      <c r="BQ53" s="124"/>
      <c r="BR53" s="124"/>
      <c r="BS53" s="124"/>
      <c r="BT53" s="125"/>
      <c r="BU53" s="123" t="str">
        <f>BIN2HEX(CONCATENATE(BU52,BV52,BW52,BX52,BY52,BZ52,CA52,CB52),2)</f>
        <v>00</v>
      </c>
      <c r="BV53" s="124"/>
      <c r="BW53" s="124"/>
      <c r="BX53" s="124"/>
      <c r="BY53" s="124"/>
      <c r="BZ53" s="124"/>
      <c r="CA53" s="124"/>
      <c r="CB53" s="125"/>
      <c r="CC53" s="123" t="str">
        <f>BIN2HEX(CONCATENATE(CC52,CD52,CE52,CF52,CG52,CH52,CI52,CJ52),2)</f>
        <v>00</v>
      </c>
      <c r="CD53" s="124"/>
      <c r="CE53" s="124"/>
      <c r="CF53" s="124"/>
      <c r="CG53" s="124"/>
      <c r="CH53" s="124"/>
      <c r="CI53" s="124"/>
      <c r="CJ53" s="125"/>
    </row>
    <row r="54" spans="1:88">
      <c r="A54" s="135" t="s">
        <v>24</v>
      </c>
      <c r="B54" s="32">
        <v>0</v>
      </c>
      <c r="C54" s="32">
        <v>0</v>
      </c>
      <c r="D54" s="32">
        <v>0</v>
      </c>
      <c r="E54" s="32">
        <v>0</v>
      </c>
      <c r="F54" s="32">
        <v>0</v>
      </c>
      <c r="G54" s="32">
        <v>0</v>
      </c>
      <c r="H54" s="32">
        <v>0</v>
      </c>
      <c r="I54" s="32">
        <v>0</v>
      </c>
      <c r="J54" s="32">
        <v>0</v>
      </c>
      <c r="K54" s="32">
        <v>0</v>
      </c>
      <c r="L54" s="32">
        <v>0</v>
      </c>
      <c r="M54" s="32">
        <v>0</v>
      </c>
      <c r="N54" s="32">
        <v>0</v>
      </c>
      <c r="O54" s="32">
        <v>0</v>
      </c>
      <c r="P54" s="32">
        <v>0</v>
      </c>
      <c r="Q54" s="32">
        <v>0</v>
      </c>
      <c r="R54" s="32">
        <v>0</v>
      </c>
      <c r="S54" s="32">
        <v>0</v>
      </c>
      <c r="T54" s="32">
        <v>0</v>
      </c>
      <c r="U54" s="32">
        <v>0</v>
      </c>
      <c r="V54" s="32">
        <v>0</v>
      </c>
      <c r="W54" s="32">
        <v>0</v>
      </c>
      <c r="X54" s="32">
        <v>0</v>
      </c>
      <c r="Y54" s="32">
        <v>0</v>
      </c>
      <c r="Z54" s="32">
        <v>0</v>
      </c>
      <c r="AA54" s="32">
        <v>0</v>
      </c>
      <c r="AB54" s="32">
        <v>0</v>
      </c>
      <c r="AC54" s="32">
        <v>0</v>
      </c>
      <c r="AD54" s="32">
        <v>0</v>
      </c>
      <c r="AE54" s="32">
        <v>0</v>
      </c>
      <c r="AF54" s="32">
        <v>0</v>
      </c>
      <c r="AG54" s="32">
        <v>0</v>
      </c>
      <c r="AH54" s="32">
        <v>0</v>
      </c>
      <c r="AI54" s="32">
        <v>0</v>
      </c>
      <c r="AJ54" s="32">
        <v>0</v>
      </c>
      <c r="AK54" s="32">
        <v>0</v>
      </c>
      <c r="AL54" s="32">
        <v>0</v>
      </c>
      <c r="AM54" s="32">
        <v>0</v>
      </c>
      <c r="AN54" s="32">
        <v>0</v>
      </c>
      <c r="AO54" s="32">
        <v>0</v>
      </c>
      <c r="AP54" s="32">
        <v>0</v>
      </c>
      <c r="AQ54" s="32">
        <v>0</v>
      </c>
      <c r="AR54" s="32">
        <v>0</v>
      </c>
      <c r="AS54" s="32">
        <v>0</v>
      </c>
      <c r="AT54" s="32">
        <v>0</v>
      </c>
      <c r="AU54" s="32">
        <v>0</v>
      </c>
      <c r="AV54" s="32">
        <v>0</v>
      </c>
      <c r="AW54" s="32">
        <v>0</v>
      </c>
      <c r="AX54" s="32">
        <v>0</v>
      </c>
      <c r="AY54" s="32">
        <v>0</v>
      </c>
      <c r="AZ54" s="32">
        <v>0</v>
      </c>
      <c r="BA54" s="32">
        <v>0</v>
      </c>
      <c r="BB54" s="32">
        <v>0</v>
      </c>
      <c r="BC54" s="32">
        <v>0</v>
      </c>
      <c r="BD54" s="32">
        <v>0</v>
      </c>
      <c r="BE54" s="32">
        <v>0</v>
      </c>
      <c r="BF54" s="32">
        <v>0</v>
      </c>
      <c r="BG54" s="32">
        <v>0</v>
      </c>
      <c r="BH54" s="32">
        <v>0</v>
      </c>
      <c r="BI54" s="32">
        <v>0</v>
      </c>
      <c r="BJ54" s="32">
        <v>0</v>
      </c>
      <c r="BK54" s="32">
        <v>0</v>
      </c>
      <c r="BL54" s="32">
        <v>0</v>
      </c>
      <c r="BM54" s="32">
        <v>0</v>
      </c>
      <c r="BN54" s="32">
        <v>0</v>
      </c>
      <c r="BO54" s="32">
        <v>0</v>
      </c>
      <c r="BP54" s="32">
        <v>0</v>
      </c>
      <c r="BQ54" s="32">
        <v>0</v>
      </c>
      <c r="BR54" s="32">
        <v>0</v>
      </c>
      <c r="BS54" s="32">
        <v>0</v>
      </c>
      <c r="BT54" s="32">
        <v>0</v>
      </c>
      <c r="BU54" s="32">
        <v>0</v>
      </c>
      <c r="BV54" s="32">
        <v>0</v>
      </c>
      <c r="BW54" s="32">
        <v>0</v>
      </c>
      <c r="BX54" s="32">
        <v>0</v>
      </c>
      <c r="BY54" s="32">
        <v>0</v>
      </c>
      <c r="BZ54" s="32">
        <v>0</v>
      </c>
      <c r="CA54" s="32">
        <v>0</v>
      </c>
      <c r="CB54" s="32">
        <v>0</v>
      </c>
      <c r="CC54" s="32">
        <v>0</v>
      </c>
      <c r="CD54" s="32">
        <v>0</v>
      </c>
      <c r="CE54" s="32">
        <v>0</v>
      </c>
      <c r="CF54" s="32">
        <v>0</v>
      </c>
      <c r="CG54" s="32">
        <v>0</v>
      </c>
      <c r="CH54" s="32">
        <v>0</v>
      </c>
      <c r="CI54" s="32">
        <v>0</v>
      </c>
      <c r="CJ54" s="32">
        <v>0</v>
      </c>
    </row>
    <row r="55" spans="1:88" hidden="1">
      <c r="A55" s="136"/>
      <c r="B55" s="39" t="str">
        <f ca="1">DEC2HEX(B54,INDIRECT("'parameters recipe'!$C"&amp;B$27))</f>
        <v>0</v>
      </c>
      <c r="C55" s="39" t="e">
        <f t="shared" ref="C55:L55" ca="1" si="37">DEC2HEX(C54,INDIRECT("'parameters recipe'!$C"&amp;C$27))</f>
        <v>#NUM!</v>
      </c>
      <c r="D55" s="39" t="str">
        <f t="shared" ca="1" si="37"/>
        <v>0</v>
      </c>
      <c r="E55" s="39" t="e">
        <f t="shared" ca="1" si="37"/>
        <v>#NUM!</v>
      </c>
      <c r="F55" s="39" t="str">
        <f t="shared" ca="1" si="37"/>
        <v>0</v>
      </c>
      <c r="G55" s="39" t="e">
        <f t="shared" ca="1" si="37"/>
        <v>#NUM!</v>
      </c>
      <c r="H55" s="39" t="str">
        <f t="shared" ca="1" si="37"/>
        <v>0</v>
      </c>
      <c r="I55" s="39" t="e">
        <f t="shared" ca="1" si="37"/>
        <v>#NUM!</v>
      </c>
      <c r="J55" s="39" t="str">
        <f t="shared" ca="1" si="37"/>
        <v>0</v>
      </c>
      <c r="K55" s="39" t="e">
        <f t="shared" ca="1" si="37"/>
        <v>#NUM!</v>
      </c>
      <c r="L55" s="39" t="str">
        <f t="shared" ca="1" si="37"/>
        <v>0</v>
      </c>
      <c r="M55" s="123" t="str">
        <f>BIN2HEX(CONCATENATE(M54,N54,O54,P54,Q54,R54,S54,T54),2)</f>
        <v>00</v>
      </c>
      <c r="N55" s="124"/>
      <c r="O55" s="124"/>
      <c r="P55" s="124"/>
      <c r="Q55" s="124"/>
      <c r="R55" s="124"/>
      <c r="S55" s="124"/>
      <c r="T55" s="125"/>
      <c r="U55" s="39" t="e">
        <f t="shared" ref="U55:X55" ca="1" si="38">DEC2HEX(U54,INDIRECT("'parameters recipe'!$C"&amp;U$27))</f>
        <v>#NUM!</v>
      </c>
      <c r="V55" s="39" t="e">
        <f t="shared" ca="1" si="38"/>
        <v>#NUM!</v>
      </c>
      <c r="W55" s="39" t="e">
        <f t="shared" ca="1" si="38"/>
        <v>#NUM!</v>
      </c>
      <c r="X55" s="39" t="e">
        <f t="shared" ca="1" si="38"/>
        <v>#NUM!</v>
      </c>
      <c r="Y55" s="123" t="str">
        <f>BIN2HEX(CONCATENATE(Y54,Z54,AA54,AB54,AC54,AD54,AE54,AF54),2)</f>
        <v>00</v>
      </c>
      <c r="Z55" s="124"/>
      <c r="AA55" s="124"/>
      <c r="AB55" s="124"/>
      <c r="AC55" s="124"/>
      <c r="AD55" s="124"/>
      <c r="AE55" s="124"/>
      <c r="AF55" s="125"/>
      <c r="AG55" s="123" t="str">
        <f>BIN2HEX(CONCATENATE(AG54,AH54,AI54,AJ54,AK54,AL54,AM54,AN54),2)</f>
        <v>00</v>
      </c>
      <c r="AH55" s="124"/>
      <c r="AI55" s="124"/>
      <c r="AJ55" s="124"/>
      <c r="AK55" s="124"/>
      <c r="AL55" s="124"/>
      <c r="AM55" s="124"/>
      <c r="AN55" s="125"/>
      <c r="AO55" s="123" t="str">
        <f>BIN2HEX(CONCATENATE(AO54,AP54,AQ54,AR54,AS54,AT54,AU54,AV54),2)</f>
        <v>00</v>
      </c>
      <c r="AP55" s="124"/>
      <c r="AQ55" s="124"/>
      <c r="AR55" s="124"/>
      <c r="AS55" s="124"/>
      <c r="AT55" s="124"/>
      <c r="AU55" s="124"/>
      <c r="AV55" s="125"/>
      <c r="AW55" s="123" t="str">
        <f>BIN2HEX(CONCATENATE(AW54,AX54,AY54,AZ54,BA54,BB54,BC54,BD54),2)</f>
        <v>00</v>
      </c>
      <c r="AX55" s="124"/>
      <c r="AY55" s="124"/>
      <c r="AZ55" s="124"/>
      <c r="BA55" s="124"/>
      <c r="BB55" s="124"/>
      <c r="BC55" s="124"/>
      <c r="BD55" s="125"/>
      <c r="BE55" s="123" t="str">
        <f>BIN2HEX(CONCATENATE(BE54,BF54,BG54,BH54,BI54,BJ54,BK54,BL54),2)</f>
        <v>00</v>
      </c>
      <c r="BF55" s="124"/>
      <c r="BG55" s="124"/>
      <c r="BH55" s="124"/>
      <c r="BI55" s="124"/>
      <c r="BJ55" s="124"/>
      <c r="BK55" s="124"/>
      <c r="BL55" s="125"/>
      <c r="BM55" s="123" t="str">
        <f>BIN2HEX(CONCATENATE(BM54,BN54,BO54,BP54,BQ54,BR54,BS54,BT54),2)</f>
        <v>00</v>
      </c>
      <c r="BN55" s="124"/>
      <c r="BO55" s="124"/>
      <c r="BP55" s="124"/>
      <c r="BQ55" s="124"/>
      <c r="BR55" s="124"/>
      <c r="BS55" s="124"/>
      <c r="BT55" s="125"/>
      <c r="BU55" s="123" t="str">
        <f>BIN2HEX(CONCATENATE(BU54,BV54,BW54,BX54,BY54,BZ54,CA54,CB54),2)</f>
        <v>00</v>
      </c>
      <c r="BV55" s="124"/>
      <c r="BW55" s="124"/>
      <c r="BX55" s="124"/>
      <c r="BY55" s="124"/>
      <c r="BZ55" s="124"/>
      <c r="CA55" s="124"/>
      <c r="CB55" s="125"/>
      <c r="CC55" s="123" t="str">
        <f>BIN2HEX(CONCATENATE(CC54,CD54,CE54,CF54,CG54,CH54,CI54,CJ54),2)</f>
        <v>00</v>
      </c>
      <c r="CD55" s="124"/>
      <c r="CE55" s="124"/>
      <c r="CF55" s="124"/>
      <c r="CG55" s="124"/>
      <c r="CH55" s="124"/>
      <c r="CI55" s="124"/>
      <c r="CJ55" s="125"/>
    </row>
    <row r="56" spans="1:88">
      <c r="A56" s="135" t="s">
        <v>25</v>
      </c>
      <c r="B56" s="32">
        <v>0</v>
      </c>
      <c r="C56" s="32">
        <v>0</v>
      </c>
      <c r="D56" s="32">
        <v>0</v>
      </c>
      <c r="E56" s="32">
        <v>0</v>
      </c>
      <c r="F56" s="32">
        <v>0</v>
      </c>
      <c r="G56" s="32">
        <v>0</v>
      </c>
      <c r="H56" s="32">
        <v>0</v>
      </c>
      <c r="I56" s="32">
        <v>0</v>
      </c>
      <c r="J56" s="32">
        <v>0</v>
      </c>
      <c r="K56" s="32">
        <v>0</v>
      </c>
      <c r="L56" s="32">
        <v>0</v>
      </c>
      <c r="M56" s="32">
        <v>0</v>
      </c>
      <c r="N56" s="32">
        <v>0</v>
      </c>
      <c r="O56" s="32">
        <v>0</v>
      </c>
      <c r="P56" s="32">
        <v>0</v>
      </c>
      <c r="Q56" s="32">
        <v>0</v>
      </c>
      <c r="R56" s="32">
        <v>0</v>
      </c>
      <c r="S56" s="32">
        <v>0</v>
      </c>
      <c r="T56" s="32">
        <v>0</v>
      </c>
      <c r="U56" s="32">
        <v>0</v>
      </c>
      <c r="V56" s="32">
        <v>0</v>
      </c>
      <c r="W56" s="32">
        <v>0</v>
      </c>
      <c r="X56" s="32">
        <v>0</v>
      </c>
      <c r="Y56" s="32">
        <v>0</v>
      </c>
      <c r="Z56" s="32">
        <v>0</v>
      </c>
      <c r="AA56" s="32">
        <v>0</v>
      </c>
      <c r="AB56" s="32">
        <v>0</v>
      </c>
      <c r="AC56" s="32">
        <v>0</v>
      </c>
      <c r="AD56" s="32">
        <v>0</v>
      </c>
      <c r="AE56" s="32">
        <v>0</v>
      </c>
      <c r="AF56" s="32">
        <v>0</v>
      </c>
      <c r="AG56" s="32">
        <v>0</v>
      </c>
      <c r="AH56" s="32">
        <v>0</v>
      </c>
      <c r="AI56" s="32">
        <v>0</v>
      </c>
      <c r="AJ56" s="32">
        <v>0</v>
      </c>
      <c r="AK56" s="32">
        <v>0</v>
      </c>
      <c r="AL56" s="32">
        <v>0</v>
      </c>
      <c r="AM56" s="32">
        <v>0</v>
      </c>
      <c r="AN56" s="32">
        <v>0</v>
      </c>
      <c r="AO56" s="32">
        <v>0</v>
      </c>
      <c r="AP56" s="32">
        <v>0</v>
      </c>
      <c r="AQ56" s="32">
        <v>0</v>
      </c>
      <c r="AR56" s="32">
        <v>0</v>
      </c>
      <c r="AS56" s="32">
        <v>0</v>
      </c>
      <c r="AT56" s="32">
        <v>0</v>
      </c>
      <c r="AU56" s="32">
        <v>0</v>
      </c>
      <c r="AV56" s="32">
        <v>0</v>
      </c>
      <c r="AW56" s="32">
        <v>0</v>
      </c>
      <c r="AX56" s="32">
        <v>0</v>
      </c>
      <c r="AY56" s="32">
        <v>0</v>
      </c>
      <c r="AZ56" s="32">
        <v>0</v>
      </c>
      <c r="BA56" s="32">
        <v>0</v>
      </c>
      <c r="BB56" s="32">
        <v>0</v>
      </c>
      <c r="BC56" s="32">
        <v>0</v>
      </c>
      <c r="BD56" s="32">
        <v>0</v>
      </c>
      <c r="BE56" s="32">
        <v>0</v>
      </c>
      <c r="BF56" s="32">
        <v>0</v>
      </c>
      <c r="BG56" s="32">
        <v>0</v>
      </c>
      <c r="BH56" s="32">
        <v>0</v>
      </c>
      <c r="BI56" s="32">
        <v>0</v>
      </c>
      <c r="BJ56" s="32">
        <v>0</v>
      </c>
      <c r="BK56" s="32">
        <v>0</v>
      </c>
      <c r="BL56" s="32">
        <v>0</v>
      </c>
      <c r="BM56" s="32">
        <v>0</v>
      </c>
      <c r="BN56" s="32">
        <v>0</v>
      </c>
      <c r="BO56" s="32">
        <v>0</v>
      </c>
      <c r="BP56" s="32">
        <v>0</v>
      </c>
      <c r="BQ56" s="32">
        <v>0</v>
      </c>
      <c r="BR56" s="32">
        <v>0</v>
      </c>
      <c r="BS56" s="32">
        <v>0</v>
      </c>
      <c r="BT56" s="32">
        <v>0</v>
      </c>
      <c r="BU56" s="32">
        <v>0</v>
      </c>
      <c r="BV56" s="32">
        <v>0</v>
      </c>
      <c r="BW56" s="32">
        <v>0</v>
      </c>
      <c r="BX56" s="32">
        <v>0</v>
      </c>
      <c r="BY56" s="32">
        <v>0</v>
      </c>
      <c r="BZ56" s="32">
        <v>0</v>
      </c>
      <c r="CA56" s="32">
        <v>0</v>
      </c>
      <c r="CB56" s="32">
        <v>0</v>
      </c>
      <c r="CC56" s="32">
        <v>0</v>
      </c>
      <c r="CD56" s="32">
        <v>0</v>
      </c>
      <c r="CE56" s="32">
        <v>0</v>
      </c>
      <c r="CF56" s="32">
        <v>0</v>
      </c>
      <c r="CG56" s="32">
        <v>0</v>
      </c>
      <c r="CH56" s="32">
        <v>0</v>
      </c>
      <c r="CI56" s="32">
        <v>0</v>
      </c>
      <c r="CJ56" s="32">
        <v>0</v>
      </c>
    </row>
    <row r="57" spans="1:88" hidden="1">
      <c r="A57" s="136"/>
      <c r="B57" s="39" t="str">
        <f ca="1">DEC2HEX(B56,INDIRECT("'parameters recipe'!$C"&amp;B$27))</f>
        <v>0</v>
      </c>
      <c r="C57" s="39" t="e">
        <f t="shared" ref="C57:L57" ca="1" si="39">DEC2HEX(C56,INDIRECT("'parameters recipe'!$C"&amp;C$27))</f>
        <v>#NUM!</v>
      </c>
      <c r="D57" s="39" t="str">
        <f t="shared" ca="1" si="39"/>
        <v>0</v>
      </c>
      <c r="E57" s="39" t="e">
        <f t="shared" ca="1" si="39"/>
        <v>#NUM!</v>
      </c>
      <c r="F57" s="39" t="str">
        <f t="shared" ca="1" si="39"/>
        <v>0</v>
      </c>
      <c r="G57" s="39" t="e">
        <f t="shared" ca="1" si="39"/>
        <v>#NUM!</v>
      </c>
      <c r="H57" s="39" t="str">
        <f t="shared" ca="1" si="39"/>
        <v>0</v>
      </c>
      <c r="I57" s="39" t="e">
        <f t="shared" ca="1" si="39"/>
        <v>#NUM!</v>
      </c>
      <c r="J57" s="39" t="str">
        <f t="shared" ca="1" si="39"/>
        <v>0</v>
      </c>
      <c r="K57" s="39" t="e">
        <f t="shared" ca="1" si="39"/>
        <v>#NUM!</v>
      </c>
      <c r="L57" s="39" t="str">
        <f t="shared" ca="1" si="39"/>
        <v>0</v>
      </c>
      <c r="M57" s="123" t="str">
        <f>BIN2HEX(CONCATENATE(M56,N56,O56,P56,Q56,R56,S56,T56),2)</f>
        <v>00</v>
      </c>
      <c r="N57" s="124"/>
      <c r="O57" s="124"/>
      <c r="P57" s="124"/>
      <c r="Q57" s="124"/>
      <c r="R57" s="124"/>
      <c r="S57" s="124"/>
      <c r="T57" s="125"/>
      <c r="U57" s="39" t="e">
        <f t="shared" ref="U57:X57" ca="1" si="40">DEC2HEX(U56,INDIRECT("'parameters recipe'!$C"&amp;U$27))</f>
        <v>#NUM!</v>
      </c>
      <c r="V57" s="39" t="e">
        <f t="shared" ca="1" si="40"/>
        <v>#NUM!</v>
      </c>
      <c r="W57" s="39" t="e">
        <f t="shared" ca="1" si="40"/>
        <v>#NUM!</v>
      </c>
      <c r="X57" s="39" t="e">
        <f t="shared" ca="1" si="40"/>
        <v>#NUM!</v>
      </c>
      <c r="Y57" s="123" t="str">
        <f>BIN2HEX(CONCATENATE(Y56,Z56,AA56,AB56,AC56,AD56,AE56,AF56),2)</f>
        <v>00</v>
      </c>
      <c r="Z57" s="124"/>
      <c r="AA57" s="124"/>
      <c r="AB57" s="124"/>
      <c r="AC57" s="124"/>
      <c r="AD57" s="124"/>
      <c r="AE57" s="124"/>
      <c r="AF57" s="125"/>
      <c r="AG57" s="123" t="str">
        <f>BIN2HEX(CONCATENATE(AG56,AH56,AI56,AJ56,AK56,AL56,AM56,AN56),2)</f>
        <v>00</v>
      </c>
      <c r="AH57" s="124"/>
      <c r="AI57" s="124"/>
      <c r="AJ57" s="124"/>
      <c r="AK57" s="124"/>
      <c r="AL57" s="124"/>
      <c r="AM57" s="124"/>
      <c r="AN57" s="125"/>
      <c r="AO57" s="123" t="str">
        <f>BIN2HEX(CONCATENATE(AO56,AP56,AQ56,AR56,AS56,AT56,AU56,AV56),2)</f>
        <v>00</v>
      </c>
      <c r="AP57" s="124"/>
      <c r="AQ57" s="124"/>
      <c r="AR57" s="124"/>
      <c r="AS57" s="124"/>
      <c r="AT57" s="124"/>
      <c r="AU57" s="124"/>
      <c r="AV57" s="125"/>
      <c r="AW57" s="123" t="str">
        <f>BIN2HEX(CONCATENATE(AW56,AX56,AY56,AZ56,BA56,BB56,BC56,BD56),2)</f>
        <v>00</v>
      </c>
      <c r="AX57" s="124"/>
      <c r="AY57" s="124"/>
      <c r="AZ57" s="124"/>
      <c r="BA57" s="124"/>
      <c r="BB57" s="124"/>
      <c r="BC57" s="124"/>
      <c r="BD57" s="125"/>
      <c r="BE57" s="123" t="str">
        <f>BIN2HEX(CONCATENATE(BE56,BF56,BG56,BH56,BI56,BJ56,BK56,BL56),2)</f>
        <v>00</v>
      </c>
      <c r="BF57" s="124"/>
      <c r="BG57" s="124"/>
      <c r="BH57" s="124"/>
      <c r="BI57" s="124"/>
      <c r="BJ57" s="124"/>
      <c r="BK57" s="124"/>
      <c r="BL57" s="125"/>
      <c r="BM57" s="123" t="str">
        <f>BIN2HEX(CONCATENATE(BM56,BN56,BO56,BP56,BQ56,BR56,BS56,BT56),2)</f>
        <v>00</v>
      </c>
      <c r="BN57" s="124"/>
      <c r="BO57" s="124"/>
      <c r="BP57" s="124"/>
      <c r="BQ57" s="124"/>
      <c r="BR57" s="124"/>
      <c r="BS57" s="124"/>
      <c r="BT57" s="125"/>
      <c r="BU57" s="123" t="str">
        <f>BIN2HEX(CONCATENATE(BU56,BV56,BW56,BX56,BY56,BZ56,CA56,CB56),2)</f>
        <v>00</v>
      </c>
      <c r="BV57" s="124"/>
      <c r="BW57" s="124"/>
      <c r="BX57" s="124"/>
      <c r="BY57" s="124"/>
      <c r="BZ57" s="124"/>
      <c r="CA57" s="124"/>
      <c r="CB57" s="125"/>
      <c r="CC57" s="123" t="str">
        <f>BIN2HEX(CONCATENATE(CC56,CD56,CE56,CF56,CG56,CH56,CI56,CJ56),2)</f>
        <v>00</v>
      </c>
      <c r="CD57" s="124"/>
      <c r="CE57" s="124"/>
      <c r="CF57" s="124"/>
      <c r="CG57" s="124"/>
      <c r="CH57" s="124"/>
      <c r="CI57" s="124"/>
      <c r="CJ57" s="125"/>
    </row>
    <row r="58" spans="1:88">
      <c r="A58" s="135" t="s">
        <v>122</v>
      </c>
      <c r="B58" s="32">
        <v>0</v>
      </c>
      <c r="C58" s="32">
        <v>0</v>
      </c>
      <c r="D58" s="32">
        <v>0</v>
      </c>
      <c r="E58" s="32">
        <v>0</v>
      </c>
      <c r="F58" s="32">
        <v>0</v>
      </c>
      <c r="G58" s="32">
        <v>0</v>
      </c>
      <c r="H58" s="32">
        <v>0</v>
      </c>
      <c r="I58" s="32">
        <v>0</v>
      </c>
      <c r="J58" s="32">
        <v>0</v>
      </c>
      <c r="K58" s="32">
        <v>0</v>
      </c>
      <c r="L58" s="32">
        <v>0</v>
      </c>
      <c r="M58" s="32">
        <v>0</v>
      </c>
      <c r="N58" s="32">
        <v>0</v>
      </c>
      <c r="O58" s="32">
        <v>0</v>
      </c>
      <c r="P58" s="32">
        <v>0</v>
      </c>
      <c r="Q58" s="32">
        <v>0</v>
      </c>
      <c r="R58" s="32">
        <v>0</v>
      </c>
      <c r="S58" s="32">
        <v>0</v>
      </c>
      <c r="T58" s="32">
        <v>0</v>
      </c>
      <c r="U58" s="32">
        <v>0</v>
      </c>
      <c r="V58" s="32">
        <v>0</v>
      </c>
      <c r="W58" s="32">
        <v>0</v>
      </c>
      <c r="X58" s="32">
        <v>0</v>
      </c>
      <c r="Y58" s="32">
        <v>0</v>
      </c>
      <c r="Z58" s="32">
        <v>0</v>
      </c>
      <c r="AA58" s="32">
        <v>0</v>
      </c>
      <c r="AB58" s="32">
        <v>0</v>
      </c>
      <c r="AC58" s="32">
        <v>0</v>
      </c>
      <c r="AD58" s="32">
        <v>0</v>
      </c>
      <c r="AE58" s="32">
        <v>0</v>
      </c>
      <c r="AF58" s="32">
        <v>0</v>
      </c>
      <c r="AG58" s="32">
        <v>0</v>
      </c>
      <c r="AH58" s="32">
        <v>0</v>
      </c>
      <c r="AI58" s="32">
        <v>0</v>
      </c>
      <c r="AJ58" s="32">
        <v>0</v>
      </c>
      <c r="AK58" s="32">
        <v>0</v>
      </c>
      <c r="AL58" s="32">
        <v>0</v>
      </c>
      <c r="AM58" s="32">
        <v>0</v>
      </c>
      <c r="AN58" s="32">
        <v>0</v>
      </c>
      <c r="AO58" s="32">
        <v>0</v>
      </c>
      <c r="AP58" s="32">
        <v>0</v>
      </c>
      <c r="AQ58" s="32">
        <v>0</v>
      </c>
      <c r="AR58" s="32">
        <v>0</v>
      </c>
      <c r="AS58" s="32">
        <v>0</v>
      </c>
      <c r="AT58" s="32">
        <v>0</v>
      </c>
      <c r="AU58" s="32">
        <v>0</v>
      </c>
      <c r="AV58" s="32">
        <v>0</v>
      </c>
      <c r="AW58" s="32">
        <v>0</v>
      </c>
      <c r="AX58" s="32">
        <v>0</v>
      </c>
      <c r="AY58" s="32">
        <v>0</v>
      </c>
      <c r="AZ58" s="32">
        <v>0</v>
      </c>
      <c r="BA58" s="32">
        <v>0</v>
      </c>
      <c r="BB58" s="32">
        <v>0</v>
      </c>
      <c r="BC58" s="32">
        <v>0</v>
      </c>
      <c r="BD58" s="32">
        <v>0</v>
      </c>
      <c r="BE58" s="32">
        <v>0</v>
      </c>
      <c r="BF58" s="32">
        <v>0</v>
      </c>
      <c r="BG58" s="32">
        <v>0</v>
      </c>
      <c r="BH58" s="32">
        <v>0</v>
      </c>
      <c r="BI58" s="32">
        <v>0</v>
      </c>
      <c r="BJ58" s="32">
        <v>0</v>
      </c>
      <c r="BK58" s="32">
        <v>0</v>
      </c>
      <c r="BL58" s="32">
        <v>0</v>
      </c>
      <c r="BM58" s="32">
        <v>0</v>
      </c>
      <c r="BN58" s="32">
        <v>0</v>
      </c>
      <c r="BO58" s="32">
        <v>0</v>
      </c>
      <c r="BP58" s="32">
        <v>0</v>
      </c>
      <c r="BQ58" s="32">
        <v>0</v>
      </c>
      <c r="BR58" s="32">
        <v>0</v>
      </c>
      <c r="BS58" s="32">
        <v>0</v>
      </c>
      <c r="BT58" s="32">
        <v>0</v>
      </c>
      <c r="BU58" s="32">
        <v>0</v>
      </c>
      <c r="BV58" s="32">
        <v>0</v>
      </c>
      <c r="BW58" s="32">
        <v>0</v>
      </c>
      <c r="BX58" s="32">
        <v>0</v>
      </c>
      <c r="BY58" s="32">
        <v>0</v>
      </c>
      <c r="BZ58" s="32">
        <v>0</v>
      </c>
      <c r="CA58" s="32">
        <v>0</v>
      </c>
      <c r="CB58" s="32">
        <v>0</v>
      </c>
      <c r="CC58" s="32">
        <v>0</v>
      </c>
      <c r="CD58" s="32">
        <v>0</v>
      </c>
      <c r="CE58" s="32">
        <v>0</v>
      </c>
      <c r="CF58" s="32">
        <v>0</v>
      </c>
      <c r="CG58" s="32">
        <v>0</v>
      </c>
      <c r="CH58" s="32">
        <v>0</v>
      </c>
      <c r="CI58" s="32">
        <v>0</v>
      </c>
      <c r="CJ58" s="32">
        <v>0</v>
      </c>
    </row>
    <row r="59" spans="1:88" hidden="1">
      <c r="A59" s="136"/>
      <c r="B59" s="39" t="str">
        <f ca="1">DEC2HEX(B58,INDIRECT("'parameters recipe'!$C"&amp;B$27))</f>
        <v>0</v>
      </c>
      <c r="C59" s="39" t="e">
        <f t="shared" ref="C59:L59" ca="1" si="41">DEC2HEX(C58,INDIRECT("'parameters recipe'!$C"&amp;C$27))</f>
        <v>#NUM!</v>
      </c>
      <c r="D59" s="39" t="str">
        <f t="shared" ca="1" si="41"/>
        <v>0</v>
      </c>
      <c r="E59" s="39" t="e">
        <f t="shared" ca="1" si="41"/>
        <v>#NUM!</v>
      </c>
      <c r="F59" s="39" t="str">
        <f t="shared" ca="1" si="41"/>
        <v>0</v>
      </c>
      <c r="G59" s="39" t="e">
        <f t="shared" ca="1" si="41"/>
        <v>#NUM!</v>
      </c>
      <c r="H59" s="39" t="str">
        <f t="shared" ca="1" si="41"/>
        <v>0</v>
      </c>
      <c r="I59" s="39" t="e">
        <f t="shared" ca="1" si="41"/>
        <v>#NUM!</v>
      </c>
      <c r="J59" s="39" t="str">
        <f t="shared" ca="1" si="41"/>
        <v>0</v>
      </c>
      <c r="K59" s="39" t="e">
        <f t="shared" ca="1" si="41"/>
        <v>#NUM!</v>
      </c>
      <c r="L59" s="39" t="str">
        <f t="shared" ca="1" si="41"/>
        <v>0</v>
      </c>
      <c r="M59" s="123" t="str">
        <f>BIN2HEX(CONCATENATE(M58,N58,O58,P58,Q58,R58,S58,T58),2)</f>
        <v>00</v>
      </c>
      <c r="N59" s="124"/>
      <c r="O59" s="124"/>
      <c r="P59" s="124"/>
      <c r="Q59" s="124"/>
      <c r="R59" s="124"/>
      <c r="S59" s="124"/>
      <c r="T59" s="125"/>
      <c r="U59" s="39" t="e">
        <f t="shared" ref="U59:X59" ca="1" si="42">DEC2HEX(U58,INDIRECT("'parameters recipe'!$C"&amp;U$27))</f>
        <v>#NUM!</v>
      </c>
      <c r="V59" s="39" t="e">
        <f t="shared" ca="1" si="42"/>
        <v>#NUM!</v>
      </c>
      <c r="W59" s="39" t="e">
        <f t="shared" ca="1" si="42"/>
        <v>#NUM!</v>
      </c>
      <c r="X59" s="39" t="e">
        <f t="shared" ca="1" si="42"/>
        <v>#NUM!</v>
      </c>
      <c r="Y59" s="123" t="str">
        <f>BIN2HEX(CONCATENATE(Y58,Z58,AA58,AB58,AC58,AD58,AE58,AF58),2)</f>
        <v>00</v>
      </c>
      <c r="Z59" s="124"/>
      <c r="AA59" s="124"/>
      <c r="AB59" s="124"/>
      <c r="AC59" s="124"/>
      <c r="AD59" s="124"/>
      <c r="AE59" s="124"/>
      <c r="AF59" s="125"/>
      <c r="AG59" s="123" t="str">
        <f>BIN2HEX(CONCATENATE(AG58,AH58,AI58,AJ58,AK58,AL58,AM58,AN58),2)</f>
        <v>00</v>
      </c>
      <c r="AH59" s="124"/>
      <c r="AI59" s="124"/>
      <c r="AJ59" s="124"/>
      <c r="AK59" s="124"/>
      <c r="AL59" s="124"/>
      <c r="AM59" s="124"/>
      <c r="AN59" s="125"/>
      <c r="AO59" s="123" t="str">
        <f>BIN2HEX(CONCATENATE(AO58,AP58,AQ58,AR58,AS58,AT58,AU58,AV58),2)</f>
        <v>00</v>
      </c>
      <c r="AP59" s="124"/>
      <c r="AQ59" s="124"/>
      <c r="AR59" s="124"/>
      <c r="AS59" s="124"/>
      <c r="AT59" s="124"/>
      <c r="AU59" s="124"/>
      <c r="AV59" s="125"/>
      <c r="AW59" s="123" t="str">
        <f>BIN2HEX(CONCATENATE(AW58,AX58,AY58,AZ58,BA58,BB58,BC58,BD58),2)</f>
        <v>00</v>
      </c>
      <c r="AX59" s="124"/>
      <c r="AY59" s="124"/>
      <c r="AZ59" s="124"/>
      <c r="BA59" s="124"/>
      <c r="BB59" s="124"/>
      <c r="BC59" s="124"/>
      <c r="BD59" s="125"/>
      <c r="BE59" s="123" t="str">
        <f>BIN2HEX(CONCATENATE(BE58,BF58,BG58,BH58,BI58,BJ58,BK58,BL58),2)</f>
        <v>00</v>
      </c>
      <c r="BF59" s="124"/>
      <c r="BG59" s="124"/>
      <c r="BH59" s="124"/>
      <c r="BI59" s="124"/>
      <c r="BJ59" s="124"/>
      <c r="BK59" s="124"/>
      <c r="BL59" s="125"/>
      <c r="BM59" s="123" t="str">
        <f>BIN2HEX(CONCATENATE(BM58,BN58,BO58,BP58,BQ58,BR58,BS58,BT58),2)</f>
        <v>00</v>
      </c>
      <c r="BN59" s="124"/>
      <c r="BO59" s="124"/>
      <c r="BP59" s="124"/>
      <c r="BQ59" s="124"/>
      <c r="BR59" s="124"/>
      <c r="BS59" s="124"/>
      <c r="BT59" s="125"/>
      <c r="BU59" s="123" t="str">
        <f>BIN2HEX(CONCATENATE(BU58,BV58,BW58,BX58,BY58,BZ58,CA58,CB58),2)</f>
        <v>00</v>
      </c>
      <c r="BV59" s="124"/>
      <c r="BW59" s="124"/>
      <c r="BX59" s="124"/>
      <c r="BY59" s="124"/>
      <c r="BZ59" s="124"/>
      <c r="CA59" s="124"/>
      <c r="CB59" s="125"/>
      <c r="CC59" s="123" t="str">
        <f>BIN2HEX(CONCATENATE(CC58,CD58,CE58,CF58,CG58,CH58,CI58,CJ58),2)</f>
        <v>00</v>
      </c>
      <c r="CD59" s="124"/>
      <c r="CE59" s="124"/>
      <c r="CF59" s="124"/>
      <c r="CG59" s="124"/>
      <c r="CH59" s="124"/>
      <c r="CI59" s="124"/>
      <c r="CJ59" s="125"/>
    </row>
    <row r="62" spans="1:88">
      <c r="A62" s="45"/>
    </row>
  </sheetData>
  <sheetProtection selectLockedCells="1"/>
  <mergeCells count="203">
    <mergeCell ref="L15:U15"/>
    <mergeCell ref="L16:U16"/>
    <mergeCell ref="L17:U17"/>
    <mergeCell ref="L18:U18"/>
    <mergeCell ref="L19:U19"/>
    <mergeCell ref="L20:U20"/>
    <mergeCell ref="L21:U21"/>
    <mergeCell ref="B22:U22"/>
    <mergeCell ref="L6:U6"/>
    <mergeCell ref="L7:U7"/>
    <mergeCell ref="L8:U8"/>
    <mergeCell ref="L9:U9"/>
    <mergeCell ref="L10:U10"/>
    <mergeCell ref="L11:U11"/>
    <mergeCell ref="L12:U12"/>
    <mergeCell ref="L13:U13"/>
    <mergeCell ref="L14:U14"/>
    <mergeCell ref="B21:J21"/>
    <mergeCell ref="B6:J6"/>
    <mergeCell ref="B7:J7"/>
    <mergeCell ref="B8:J8"/>
    <mergeCell ref="B12:J12"/>
    <mergeCell ref="B13:J13"/>
    <mergeCell ref="B19:J19"/>
    <mergeCell ref="BE57:BL57"/>
    <mergeCell ref="BM57:BT57"/>
    <mergeCell ref="BU57:CB57"/>
    <mergeCell ref="CC57:CJ57"/>
    <mergeCell ref="BE59:BL59"/>
    <mergeCell ref="BM59:BT59"/>
    <mergeCell ref="BU59:CB59"/>
    <mergeCell ref="CC59:CJ59"/>
    <mergeCell ref="BE51:BL51"/>
    <mergeCell ref="BM51:BT51"/>
    <mergeCell ref="BU51:CB51"/>
    <mergeCell ref="CC51:CJ51"/>
    <mergeCell ref="BE53:BL53"/>
    <mergeCell ref="BM53:BT53"/>
    <mergeCell ref="BU53:CB53"/>
    <mergeCell ref="CC53:CJ53"/>
    <mergeCell ref="BE55:BL55"/>
    <mergeCell ref="BM55:BT55"/>
    <mergeCell ref="BU55:CB55"/>
    <mergeCell ref="CC55:CJ55"/>
    <mergeCell ref="BE45:BL45"/>
    <mergeCell ref="BM45:BT45"/>
    <mergeCell ref="BU45:CB45"/>
    <mergeCell ref="CC45:CJ45"/>
    <mergeCell ref="BE47:BL47"/>
    <mergeCell ref="BM47:BT47"/>
    <mergeCell ref="BU47:CB47"/>
    <mergeCell ref="CC47:CJ47"/>
    <mergeCell ref="BE49:BL49"/>
    <mergeCell ref="BM49:BT49"/>
    <mergeCell ref="BU49:CB49"/>
    <mergeCell ref="CC49:CJ49"/>
    <mergeCell ref="BE39:BL39"/>
    <mergeCell ref="BM39:BT39"/>
    <mergeCell ref="BU39:CB39"/>
    <mergeCell ref="CC39:CJ39"/>
    <mergeCell ref="BE41:BL41"/>
    <mergeCell ref="BM41:BT41"/>
    <mergeCell ref="BU41:CB41"/>
    <mergeCell ref="CC41:CJ41"/>
    <mergeCell ref="BE43:BL43"/>
    <mergeCell ref="BM43:BT43"/>
    <mergeCell ref="BU43:CB43"/>
    <mergeCell ref="CC43:CJ43"/>
    <mergeCell ref="BE33:BL33"/>
    <mergeCell ref="BM33:BT33"/>
    <mergeCell ref="BU33:CB33"/>
    <mergeCell ref="CC33:CJ33"/>
    <mergeCell ref="BE35:BL35"/>
    <mergeCell ref="BM35:BT35"/>
    <mergeCell ref="BU35:CB35"/>
    <mergeCell ref="CC35:CJ35"/>
    <mergeCell ref="BE37:BL37"/>
    <mergeCell ref="BM37:BT37"/>
    <mergeCell ref="BU37:CB37"/>
    <mergeCell ref="CC37:CJ37"/>
    <mergeCell ref="BE24:BT24"/>
    <mergeCell ref="BU24:CJ24"/>
    <mergeCell ref="BE29:BL29"/>
    <mergeCell ref="BM29:BT29"/>
    <mergeCell ref="BU29:CB29"/>
    <mergeCell ref="CC29:CJ29"/>
    <mergeCell ref="BE31:BL31"/>
    <mergeCell ref="BM31:BT31"/>
    <mergeCell ref="BU31:CB31"/>
    <mergeCell ref="CC31:CJ31"/>
    <mergeCell ref="A58:A59"/>
    <mergeCell ref="M59:T59"/>
    <mergeCell ref="Y59:AF59"/>
    <mergeCell ref="AG59:AN59"/>
    <mergeCell ref="AO59:AV59"/>
    <mergeCell ref="AW59:BD59"/>
    <mergeCell ref="A56:A57"/>
    <mergeCell ref="M57:T57"/>
    <mergeCell ref="Y57:AF57"/>
    <mergeCell ref="AG57:AN57"/>
    <mergeCell ref="AO57:AV57"/>
    <mergeCell ref="AW57:BD57"/>
    <mergeCell ref="A54:A55"/>
    <mergeCell ref="M55:T55"/>
    <mergeCell ref="Y55:AF55"/>
    <mergeCell ref="AG55:AN55"/>
    <mergeCell ref="AO55:AV55"/>
    <mergeCell ref="AW55:BD55"/>
    <mergeCell ref="A52:A53"/>
    <mergeCell ref="M53:T53"/>
    <mergeCell ref="Y53:AF53"/>
    <mergeCell ref="AG53:AN53"/>
    <mergeCell ref="AO53:AV53"/>
    <mergeCell ref="AW53:BD53"/>
    <mergeCell ref="A50:A51"/>
    <mergeCell ref="M51:T51"/>
    <mergeCell ref="Y51:AF51"/>
    <mergeCell ref="AG51:AN51"/>
    <mergeCell ref="AO51:AV51"/>
    <mergeCell ref="AW51:BD51"/>
    <mergeCell ref="A48:A49"/>
    <mergeCell ref="M49:T49"/>
    <mergeCell ref="Y49:AF49"/>
    <mergeCell ref="AG49:AN49"/>
    <mergeCell ref="AO49:AV49"/>
    <mergeCell ref="AW49:BD49"/>
    <mergeCell ref="A46:A47"/>
    <mergeCell ref="M47:T47"/>
    <mergeCell ref="Y47:AF47"/>
    <mergeCell ref="AG47:AN47"/>
    <mergeCell ref="AO47:AV47"/>
    <mergeCell ref="AW47:BD47"/>
    <mergeCell ref="A44:A45"/>
    <mergeCell ref="M45:T45"/>
    <mergeCell ref="Y45:AF45"/>
    <mergeCell ref="AG45:AN45"/>
    <mergeCell ref="AO45:AV45"/>
    <mergeCell ref="AW45:BD45"/>
    <mergeCell ref="A42:A43"/>
    <mergeCell ref="M43:T43"/>
    <mergeCell ref="Y43:AF43"/>
    <mergeCell ref="AG43:AN43"/>
    <mergeCell ref="AO43:AV43"/>
    <mergeCell ref="AW43:BD43"/>
    <mergeCell ref="A40:A41"/>
    <mergeCell ref="M41:T41"/>
    <mergeCell ref="Y41:AF41"/>
    <mergeCell ref="AG41:AN41"/>
    <mergeCell ref="AO41:AV41"/>
    <mergeCell ref="AW41:BD41"/>
    <mergeCell ref="A38:A39"/>
    <mergeCell ref="M39:T39"/>
    <mergeCell ref="Y39:AF39"/>
    <mergeCell ref="AG39:AN39"/>
    <mergeCell ref="AO39:AV39"/>
    <mergeCell ref="AW39:BD39"/>
    <mergeCell ref="A36:A37"/>
    <mergeCell ref="M37:T37"/>
    <mergeCell ref="Y37:AF37"/>
    <mergeCell ref="AG37:AN37"/>
    <mergeCell ref="AO37:AV37"/>
    <mergeCell ref="AW37:BD37"/>
    <mergeCell ref="A34:A35"/>
    <mergeCell ref="M35:T35"/>
    <mergeCell ref="Y35:AF35"/>
    <mergeCell ref="AG35:AN35"/>
    <mergeCell ref="AO35:AV35"/>
    <mergeCell ref="AW35:BD35"/>
    <mergeCell ref="A32:A33"/>
    <mergeCell ref="M33:T33"/>
    <mergeCell ref="Y33:AF33"/>
    <mergeCell ref="AG33:AN33"/>
    <mergeCell ref="AO33:AV33"/>
    <mergeCell ref="AW33:BD33"/>
    <mergeCell ref="A30:A31"/>
    <mergeCell ref="M31:T31"/>
    <mergeCell ref="Y31:AF31"/>
    <mergeCell ref="AG31:AN31"/>
    <mergeCell ref="AO31:AV31"/>
    <mergeCell ref="AW31:BD31"/>
    <mergeCell ref="AO24:BD24"/>
    <mergeCell ref="A28:A29"/>
    <mergeCell ref="M29:T29"/>
    <mergeCell ref="Y29:AF29"/>
    <mergeCell ref="AG29:AN29"/>
    <mergeCell ref="AO29:AV29"/>
    <mergeCell ref="AW29:BD29"/>
    <mergeCell ref="B24:E24"/>
    <mergeCell ref="F24:H24"/>
    <mergeCell ref="I24:J24"/>
    <mergeCell ref="K24:L24"/>
    <mergeCell ref="M24:T24"/>
    <mergeCell ref="W24:X24"/>
    <mergeCell ref="Y24:AN24"/>
    <mergeCell ref="B20:J20"/>
    <mergeCell ref="B15:J15"/>
    <mergeCell ref="B16:J16"/>
    <mergeCell ref="B17:J17"/>
    <mergeCell ref="B14:J14"/>
    <mergeCell ref="B9:J9"/>
    <mergeCell ref="B10:J10"/>
    <mergeCell ref="B11:J11"/>
    <mergeCell ref="B18:J18"/>
  </mergeCells>
  <pageMargins left="0.7" right="0.7" top="0.75" bottom="0.75" header="0.3" footer="0.3"/>
  <pageSetup orientation="portrait" horizontalDpi="200" verticalDpi="200" copies="0" r:id="rId1"/>
  <drawing r:id="rId2"/>
  <legacyDrawing r:id="rId3"/>
  <oleObjects>
    <mc:AlternateContent xmlns:mc="http://schemas.openxmlformats.org/markup-compatibility/2006">
      <mc:Choice Requires="x14">
        <oleObject progId="Visio.Drawing.15" shapeId="12289" r:id="rId4">
          <objectPr defaultSize="0" r:id="rId5">
            <anchor moveWithCells="1">
              <from>
                <xdr:col>0</xdr:col>
                <xdr:colOff>0</xdr:colOff>
                <xdr:row>60</xdr:row>
                <xdr:rowOff>180975</xdr:rowOff>
              </from>
              <to>
                <xdr:col>7</xdr:col>
                <xdr:colOff>190500</xdr:colOff>
                <xdr:row>98</xdr:row>
                <xdr:rowOff>180975</xdr:rowOff>
              </to>
            </anchor>
          </objectPr>
        </oleObject>
      </mc:Choice>
      <mc:Fallback>
        <oleObject progId="Visio.Drawing.15" shapeId="12289" r:id="rId4"/>
      </mc:Fallback>
    </mc:AlternateContent>
  </oleObjec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E904A-7AF1-4221-A8E0-7DEBDD5A35F6}">
  <sheetPr codeName="Sheet12"/>
  <dimension ref="A1:CJ62"/>
  <sheetViews>
    <sheetView showGridLines="0" zoomScale="70" zoomScaleNormal="70" workbookViewId="0">
      <selection activeCell="AF21" sqref="AF21"/>
    </sheetView>
  </sheetViews>
  <sheetFormatPr defaultRowHeight="15"/>
  <cols>
    <col min="1" max="1" width="12.28515625" customWidth="1"/>
    <col min="2" max="88" width="6" style="3" customWidth="1"/>
    <col min="89" max="89" width="9" customWidth="1"/>
  </cols>
  <sheetData>
    <row r="1" spans="1:22">
      <c r="A1" t="s">
        <v>26</v>
      </c>
      <c r="B1" s="5" t="s">
        <v>220</v>
      </c>
    </row>
    <row r="3" spans="1:22">
      <c r="A3" t="s">
        <v>121</v>
      </c>
    </row>
    <row r="4" spans="1:22">
      <c r="A4" t="s">
        <v>72</v>
      </c>
    </row>
    <row r="6" spans="1:22" ht="28.5" customHeight="1">
      <c r="A6" s="33" t="s">
        <v>113</v>
      </c>
      <c r="B6" s="117" t="s">
        <v>164</v>
      </c>
      <c r="C6" s="133"/>
      <c r="D6" s="133"/>
      <c r="E6" s="133"/>
      <c r="F6" s="133"/>
      <c r="G6" s="133"/>
      <c r="H6" s="133"/>
      <c r="I6" s="133"/>
      <c r="J6" s="134"/>
      <c r="K6" s="35" t="s">
        <v>73</v>
      </c>
      <c r="L6" s="137" t="e">
        <f ca="1">IF(B6&lt;&gt;"",CONCATENATE(INDIRECT("B"&amp;V6),INDIRECT("C"&amp;V6),INDIRECT("D"&amp;V6),INDIRECT("E"&amp;V6),INDIRECT("F"&amp;V6),INDIRECT("G"&amp;V6),INDIRECT("H"&amp;V6),INDIRECT("I"&amp;V6),INDIRECT("J"&amp;V6),INDIRECT("K"&amp;V6),INDIRECT("L"&amp;V6),INDIRECT("M"&amp;V6),INDIRECT("U"&amp;V6),INDIRECT("V"&amp;V6),INDIRECT("W"&amp;V6),INDIRECT("X"&amp;V6),INDIRECT("Y"&amp;V6),INDIRECT("AG"&amp;V6),INDIRECT("AO"&amp;V6),INDIRECT("AW"&amp;V6),,INDIRECT("BE"&amp;V6),INDIRECT("BM"&amp;V6),INDIRECT("BU"&amp;V6),INDIRECT("CC"&amp;V6)),"")</f>
        <v>#NUM!</v>
      </c>
      <c r="M6" s="131"/>
      <c r="N6" s="131"/>
      <c r="O6" s="131"/>
      <c r="P6" s="131"/>
      <c r="Q6" s="131"/>
      <c r="R6" s="131"/>
      <c r="S6" s="131"/>
      <c r="T6" s="131"/>
      <c r="U6" s="132"/>
      <c r="V6" s="41">
        <v>29</v>
      </c>
    </row>
    <row r="7" spans="1:22" ht="28.5" customHeight="1">
      <c r="A7" s="33" t="s">
        <v>11</v>
      </c>
      <c r="B7" s="117"/>
      <c r="C7" s="133"/>
      <c r="D7" s="133"/>
      <c r="E7" s="133"/>
      <c r="F7" s="133"/>
      <c r="G7" s="133"/>
      <c r="H7" s="133"/>
      <c r="I7" s="133"/>
      <c r="J7" s="134"/>
      <c r="K7" s="35" t="s">
        <v>73</v>
      </c>
      <c r="L7" s="137" t="str">
        <f t="shared" ref="L7:L21" ca="1" si="0">IF(B7&lt;&gt;"",CONCATENATE(INDIRECT("B"&amp;V7),INDIRECT("C"&amp;V7),INDIRECT("D"&amp;V7),INDIRECT("E"&amp;V7),INDIRECT("F"&amp;V7),INDIRECT("G"&amp;V7),INDIRECT("H"&amp;V7),INDIRECT("I"&amp;V7),INDIRECT("J"&amp;V7),INDIRECT("K"&amp;V7),INDIRECT("L"&amp;V7),INDIRECT("M"&amp;V7),INDIRECT("U"&amp;V7),INDIRECT("V"&amp;V7),INDIRECT("W"&amp;V7),INDIRECT("X"&amp;V7),INDIRECT("Y"&amp;V7),INDIRECT("AG"&amp;V7),INDIRECT("AO"&amp;V7),INDIRECT("AW"&amp;V7),,INDIRECT("BE"&amp;V7),INDIRECT("BM"&amp;V7),INDIRECT("BU"&amp;V7),INDIRECT("CC"&amp;V7)),"")</f>
        <v/>
      </c>
      <c r="M7" s="131"/>
      <c r="N7" s="131"/>
      <c r="O7" s="131"/>
      <c r="P7" s="131"/>
      <c r="Q7" s="131"/>
      <c r="R7" s="131"/>
      <c r="S7" s="131"/>
      <c r="T7" s="131"/>
      <c r="U7" s="132"/>
      <c r="V7" s="41">
        <f>V6+2</f>
        <v>31</v>
      </c>
    </row>
    <row r="8" spans="1:22" ht="28.5" customHeight="1">
      <c r="A8" s="33" t="s">
        <v>12</v>
      </c>
      <c r="B8" s="117"/>
      <c r="C8" s="133"/>
      <c r="D8" s="133"/>
      <c r="E8" s="133"/>
      <c r="F8" s="133"/>
      <c r="G8" s="133"/>
      <c r="H8" s="133"/>
      <c r="I8" s="133"/>
      <c r="J8" s="134"/>
      <c r="K8" s="35" t="s">
        <v>73</v>
      </c>
      <c r="L8" s="137" t="str">
        <f t="shared" ca="1" si="0"/>
        <v/>
      </c>
      <c r="M8" s="131"/>
      <c r="N8" s="131"/>
      <c r="O8" s="131"/>
      <c r="P8" s="131"/>
      <c r="Q8" s="131"/>
      <c r="R8" s="131"/>
      <c r="S8" s="131"/>
      <c r="T8" s="131"/>
      <c r="U8" s="132"/>
      <c r="V8" s="41">
        <f t="shared" ref="V8:V21" si="1">V7+2</f>
        <v>33</v>
      </c>
    </row>
    <row r="9" spans="1:22" ht="28.5" customHeight="1">
      <c r="A9" s="33" t="s">
        <v>13</v>
      </c>
      <c r="B9" s="117"/>
      <c r="C9" s="118"/>
      <c r="D9" s="118"/>
      <c r="E9" s="118"/>
      <c r="F9" s="118"/>
      <c r="G9" s="118"/>
      <c r="H9" s="118"/>
      <c r="I9" s="118"/>
      <c r="J9" s="119"/>
      <c r="K9" s="35" t="s">
        <v>73</v>
      </c>
      <c r="L9" s="137" t="str">
        <f t="shared" ca="1" si="0"/>
        <v/>
      </c>
      <c r="M9" s="131"/>
      <c r="N9" s="131"/>
      <c r="O9" s="131"/>
      <c r="P9" s="131"/>
      <c r="Q9" s="131"/>
      <c r="R9" s="131"/>
      <c r="S9" s="131"/>
      <c r="T9" s="131"/>
      <c r="U9" s="132"/>
      <c r="V9" s="41">
        <f t="shared" si="1"/>
        <v>35</v>
      </c>
    </row>
    <row r="10" spans="1:22" ht="28.5" customHeight="1">
      <c r="A10" s="33" t="s">
        <v>14</v>
      </c>
      <c r="B10" s="117"/>
      <c r="C10" s="118"/>
      <c r="D10" s="118"/>
      <c r="E10" s="118"/>
      <c r="F10" s="118"/>
      <c r="G10" s="118"/>
      <c r="H10" s="118"/>
      <c r="I10" s="118"/>
      <c r="J10" s="119"/>
      <c r="K10" s="35" t="s">
        <v>73</v>
      </c>
      <c r="L10" s="137" t="str">
        <f t="shared" ca="1" si="0"/>
        <v/>
      </c>
      <c r="M10" s="131"/>
      <c r="N10" s="131"/>
      <c r="O10" s="131"/>
      <c r="P10" s="131"/>
      <c r="Q10" s="131"/>
      <c r="R10" s="131"/>
      <c r="S10" s="131"/>
      <c r="T10" s="131"/>
      <c r="U10" s="132"/>
      <c r="V10" s="41">
        <f t="shared" si="1"/>
        <v>37</v>
      </c>
    </row>
    <row r="11" spans="1:22" ht="28.5" customHeight="1">
      <c r="A11" s="33" t="s">
        <v>15</v>
      </c>
      <c r="B11" s="117"/>
      <c r="C11" s="118"/>
      <c r="D11" s="118"/>
      <c r="E11" s="118"/>
      <c r="F11" s="118"/>
      <c r="G11" s="118"/>
      <c r="H11" s="118"/>
      <c r="I11" s="118"/>
      <c r="J11" s="119"/>
      <c r="K11" s="35" t="s">
        <v>73</v>
      </c>
      <c r="L11" s="137" t="str">
        <f t="shared" ca="1" si="0"/>
        <v/>
      </c>
      <c r="M11" s="131"/>
      <c r="N11" s="131"/>
      <c r="O11" s="131"/>
      <c r="P11" s="131"/>
      <c r="Q11" s="131"/>
      <c r="R11" s="131"/>
      <c r="S11" s="131"/>
      <c r="T11" s="131"/>
      <c r="U11" s="132"/>
      <c r="V11" s="41">
        <f t="shared" si="1"/>
        <v>39</v>
      </c>
    </row>
    <row r="12" spans="1:22" ht="28.5" customHeight="1">
      <c r="A12" s="33" t="s">
        <v>16</v>
      </c>
      <c r="B12" s="117"/>
      <c r="C12" s="118"/>
      <c r="D12" s="118"/>
      <c r="E12" s="118"/>
      <c r="F12" s="118"/>
      <c r="G12" s="118"/>
      <c r="H12" s="118"/>
      <c r="I12" s="118"/>
      <c r="J12" s="119"/>
      <c r="K12" s="35" t="s">
        <v>73</v>
      </c>
      <c r="L12" s="137" t="str">
        <f t="shared" ca="1" si="0"/>
        <v/>
      </c>
      <c r="M12" s="131"/>
      <c r="N12" s="131"/>
      <c r="O12" s="131"/>
      <c r="P12" s="131"/>
      <c r="Q12" s="131"/>
      <c r="R12" s="131"/>
      <c r="S12" s="131"/>
      <c r="T12" s="131"/>
      <c r="U12" s="132"/>
      <c r="V12" s="41">
        <f t="shared" si="1"/>
        <v>41</v>
      </c>
    </row>
    <row r="13" spans="1:22" ht="28.5" customHeight="1">
      <c r="A13" s="33" t="s">
        <v>17</v>
      </c>
      <c r="B13" s="117"/>
      <c r="C13" s="118"/>
      <c r="D13" s="118"/>
      <c r="E13" s="118"/>
      <c r="F13" s="118"/>
      <c r="G13" s="118"/>
      <c r="H13" s="118"/>
      <c r="I13" s="118"/>
      <c r="J13" s="119"/>
      <c r="K13" s="35" t="s">
        <v>73</v>
      </c>
      <c r="L13" s="137" t="str">
        <f t="shared" ca="1" si="0"/>
        <v/>
      </c>
      <c r="M13" s="131"/>
      <c r="N13" s="131"/>
      <c r="O13" s="131"/>
      <c r="P13" s="131"/>
      <c r="Q13" s="131"/>
      <c r="R13" s="131"/>
      <c r="S13" s="131"/>
      <c r="T13" s="131"/>
      <c r="U13" s="132"/>
      <c r="V13" s="41">
        <f t="shared" si="1"/>
        <v>43</v>
      </c>
    </row>
    <row r="14" spans="1:22" ht="28.5" customHeight="1">
      <c r="A14" s="33" t="s">
        <v>18</v>
      </c>
      <c r="B14" s="117"/>
      <c r="C14" s="118"/>
      <c r="D14" s="118"/>
      <c r="E14" s="118"/>
      <c r="F14" s="118"/>
      <c r="G14" s="118"/>
      <c r="H14" s="118"/>
      <c r="I14" s="118"/>
      <c r="J14" s="119"/>
      <c r="K14" s="35" t="s">
        <v>73</v>
      </c>
      <c r="L14" s="137" t="str">
        <f t="shared" ca="1" si="0"/>
        <v/>
      </c>
      <c r="M14" s="131"/>
      <c r="N14" s="131"/>
      <c r="O14" s="131"/>
      <c r="P14" s="131"/>
      <c r="Q14" s="131"/>
      <c r="R14" s="131"/>
      <c r="S14" s="131"/>
      <c r="T14" s="131"/>
      <c r="U14" s="132"/>
      <c r="V14" s="41">
        <f t="shared" si="1"/>
        <v>45</v>
      </c>
    </row>
    <row r="15" spans="1:22" ht="28.5" customHeight="1">
      <c r="A15" s="33" t="s">
        <v>19</v>
      </c>
      <c r="B15" s="117"/>
      <c r="C15" s="118"/>
      <c r="D15" s="118"/>
      <c r="E15" s="118"/>
      <c r="F15" s="118"/>
      <c r="G15" s="118"/>
      <c r="H15" s="118"/>
      <c r="I15" s="118"/>
      <c r="J15" s="119"/>
      <c r="K15" s="35" t="s">
        <v>73</v>
      </c>
      <c r="L15" s="137" t="str">
        <f t="shared" ca="1" si="0"/>
        <v/>
      </c>
      <c r="M15" s="131"/>
      <c r="N15" s="131"/>
      <c r="O15" s="131"/>
      <c r="P15" s="131"/>
      <c r="Q15" s="131"/>
      <c r="R15" s="131"/>
      <c r="S15" s="131"/>
      <c r="T15" s="131"/>
      <c r="U15" s="132"/>
      <c r="V15" s="41">
        <f t="shared" si="1"/>
        <v>47</v>
      </c>
    </row>
    <row r="16" spans="1:22" ht="28.5" customHeight="1">
      <c r="A16" s="33" t="s">
        <v>20</v>
      </c>
      <c r="B16" s="117"/>
      <c r="C16" s="118"/>
      <c r="D16" s="118"/>
      <c r="E16" s="118"/>
      <c r="F16" s="118"/>
      <c r="G16" s="118"/>
      <c r="H16" s="118"/>
      <c r="I16" s="118"/>
      <c r="J16" s="119"/>
      <c r="K16" s="35" t="s">
        <v>73</v>
      </c>
      <c r="L16" s="137" t="str">
        <f t="shared" ca="1" si="0"/>
        <v/>
      </c>
      <c r="M16" s="131"/>
      <c r="N16" s="131"/>
      <c r="O16" s="131"/>
      <c r="P16" s="131"/>
      <c r="Q16" s="131"/>
      <c r="R16" s="131"/>
      <c r="S16" s="131"/>
      <c r="T16" s="131"/>
      <c r="U16" s="132"/>
      <c r="V16" s="41">
        <f t="shared" si="1"/>
        <v>49</v>
      </c>
    </row>
    <row r="17" spans="1:88" ht="28.5" customHeight="1">
      <c r="A17" s="33" t="s">
        <v>22</v>
      </c>
      <c r="B17" s="117"/>
      <c r="C17" s="118"/>
      <c r="D17" s="118"/>
      <c r="E17" s="118"/>
      <c r="F17" s="118"/>
      <c r="G17" s="118"/>
      <c r="H17" s="118"/>
      <c r="I17" s="118"/>
      <c r="J17" s="119"/>
      <c r="K17" s="35" t="s">
        <v>73</v>
      </c>
      <c r="L17" s="137" t="str">
        <f t="shared" ca="1" si="0"/>
        <v/>
      </c>
      <c r="M17" s="131"/>
      <c r="N17" s="131"/>
      <c r="O17" s="131"/>
      <c r="P17" s="131"/>
      <c r="Q17" s="131"/>
      <c r="R17" s="131"/>
      <c r="S17" s="131"/>
      <c r="T17" s="131"/>
      <c r="U17" s="132"/>
      <c r="V17" s="41">
        <f t="shared" si="1"/>
        <v>51</v>
      </c>
    </row>
    <row r="18" spans="1:88" ht="28.5" customHeight="1">
      <c r="A18" s="33" t="s">
        <v>23</v>
      </c>
      <c r="B18" s="117"/>
      <c r="C18" s="118"/>
      <c r="D18" s="118"/>
      <c r="E18" s="118"/>
      <c r="F18" s="118"/>
      <c r="G18" s="118"/>
      <c r="H18" s="118"/>
      <c r="I18" s="118"/>
      <c r="J18" s="119"/>
      <c r="K18" s="35" t="s">
        <v>73</v>
      </c>
      <c r="L18" s="137" t="str">
        <f t="shared" ca="1" si="0"/>
        <v/>
      </c>
      <c r="M18" s="131"/>
      <c r="N18" s="131"/>
      <c r="O18" s="131"/>
      <c r="P18" s="131"/>
      <c r="Q18" s="131"/>
      <c r="R18" s="131"/>
      <c r="S18" s="131"/>
      <c r="T18" s="131"/>
      <c r="U18" s="132"/>
      <c r="V18" s="41">
        <f t="shared" si="1"/>
        <v>53</v>
      </c>
    </row>
    <row r="19" spans="1:88" ht="28.5" customHeight="1">
      <c r="A19" s="33" t="s">
        <v>24</v>
      </c>
      <c r="B19" s="117"/>
      <c r="C19" s="118"/>
      <c r="D19" s="118"/>
      <c r="E19" s="118"/>
      <c r="F19" s="118"/>
      <c r="G19" s="118"/>
      <c r="H19" s="118"/>
      <c r="I19" s="118"/>
      <c r="J19" s="119"/>
      <c r="K19" s="35" t="s">
        <v>73</v>
      </c>
      <c r="L19" s="137" t="str">
        <f t="shared" ca="1" si="0"/>
        <v/>
      </c>
      <c r="M19" s="131"/>
      <c r="N19" s="131"/>
      <c r="O19" s="131"/>
      <c r="P19" s="131"/>
      <c r="Q19" s="131"/>
      <c r="R19" s="131"/>
      <c r="S19" s="131"/>
      <c r="T19" s="131"/>
      <c r="U19" s="132"/>
      <c r="V19" s="41">
        <f t="shared" si="1"/>
        <v>55</v>
      </c>
    </row>
    <row r="20" spans="1:88" ht="28.5" customHeight="1">
      <c r="A20" s="33" t="s">
        <v>25</v>
      </c>
      <c r="B20" s="117"/>
      <c r="C20" s="118"/>
      <c r="D20" s="118"/>
      <c r="E20" s="118"/>
      <c r="F20" s="118"/>
      <c r="G20" s="118"/>
      <c r="H20" s="118"/>
      <c r="I20" s="118"/>
      <c r="J20" s="119"/>
      <c r="K20" s="35" t="s">
        <v>73</v>
      </c>
      <c r="L20" s="137" t="str">
        <f t="shared" ca="1" si="0"/>
        <v/>
      </c>
      <c r="M20" s="131"/>
      <c r="N20" s="131"/>
      <c r="O20" s="131"/>
      <c r="P20" s="131"/>
      <c r="Q20" s="131"/>
      <c r="R20" s="131"/>
      <c r="S20" s="131"/>
      <c r="T20" s="131"/>
      <c r="U20" s="132"/>
      <c r="V20" s="41">
        <f t="shared" si="1"/>
        <v>57</v>
      </c>
      <c r="AA20" s="3" t="str">
        <f t="shared" ref="AA20" si="2">CONCATENATE(B72,C72,D72,E72,F72,G72,H72,I72,J72,K72,L72,M72,U72,V72,W72,X72,Y72,AG72,AO72,AW72)</f>
        <v/>
      </c>
      <c r="BG20" s="3" t="str">
        <f t="shared" ref="BG20" si="3">CONCATENATE(AH72,AI72,AJ72,AK72,AL72,AM72,AN72,AO72,AP72,AQ72,AR72,AS72,BA72,BB72,BC72,BD72,BE72,BM72,BU72,CC72)</f>
        <v/>
      </c>
    </row>
    <row r="21" spans="1:88" ht="28.5" customHeight="1">
      <c r="A21" s="33" t="s">
        <v>122</v>
      </c>
      <c r="B21" s="117"/>
      <c r="C21" s="118"/>
      <c r="D21" s="118"/>
      <c r="E21" s="118"/>
      <c r="F21" s="118"/>
      <c r="G21" s="118"/>
      <c r="H21" s="118"/>
      <c r="I21" s="118"/>
      <c r="J21" s="119"/>
      <c r="K21" s="35" t="s">
        <v>73</v>
      </c>
      <c r="L21" s="137" t="str">
        <f t="shared" ca="1" si="0"/>
        <v/>
      </c>
      <c r="M21" s="131"/>
      <c r="N21" s="131"/>
      <c r="O21" s="131"/>
      <c r="P21" s="131"/>
      <c r="Q21" s="131"/>
      <c r="R21" s="131"/>
      <c r="S21" s="131"/>
      <c r="T21" s="131"/>
      <c r="U21" s="132"/>
      <c r="V21" s="41">
        <f t="shared" si="1"/>
        <v>59</v>
      </c>
    </row>
    <row r="22" spans="1:88" ht="82.9" customHeight="1">
      <c r="A22" s="48" t="s">
        <v>71</v>
      </c>
      <c r="B22" s="129" t="e">
        <f ca="1">CONCATENATE(L6,L7,L8,L9,L10,L11,L12,L13,L14,L15,L16,L17,L18,L19,L20,L21)</f>
        <v>#NUM!</v>
      </c>
      <c r="C22" s="130"/>
      <c r="D22" s="130"/>
      <c r="E22" s="130"/>
      <c r="F22" s="130"/>
      <c r="G22" s="130"/>
      <c r="H22" s="130"/>
      <c r="I22" s="130"/>
      <c r="J22" s="130"/>
      <c r="K22" s="130"/>
      <c r="L22" s="130"/>
      <c r="M22" s="130"/>
      <c r="N22" s="130"/>
      <c r="O22" s="130"/>
      <c r="P22" s="130"/>
      <c r="Q22" s="130"/>
      <c r="R22" s="130"/>
      <c r="S22" s="131"/>
      <c r="T22" s="131"/>
      <c r="U22" s="132"/>
    </row>
    <row r="23" spans="1:88">
      <c r="B23" s="2"/>
      <c r="C23" s="36"/>
      <c r="D23" s="4"/>
      <c r="E23" s="4"/>
      <c r="F23" s="37"/>
      <c r="G23" s="4"/>
      <c r="H23" s="37"/>
      <c r="I23" s="4"/>
      <c r="J23" s="4"/>
      <c r="K23" s="4"/>
      <c r="L23" s="4"/>
      <c r="M23" s="4"/>
      <c r="N23" s="4"/>
      <c r="O23" s="4"/>
      <c r="P23" s="4"/>
      <c r="Q23" s="4"/>
      <c r="R23" s="4"/>
      <c r="S23" s="4"/>
      <c r="T23" s="4"/>
    </row>
    <row r="24" spans="1:88">
      <c r="B24" s="126" t="s">
        <v>115</v>
      </c>
      <c r="C24" s="126"/>
      <c r="D24" s="126"/>
      <c r="E24" s="126"/>
      <c r="F24" s="127" t="s">
        <v>116</v>
      </c>
      <c r="G24" s="126"/>
      <c r="H24" s="126"/>
      <c r="I24" s="127" t="s">
        <v>117</v>
      </c>
      <c r="J24" s="126"/>
      <c r="K24" s="127" t="s">
        <v>118</v>
      </c>
      <c r="L24" s="126"/>
      <c r="M24" s="128" t="s">
        <v>114</v>
      </c>
      <c r="N24" s="121"/>
      <c r="O24" s="121"/>
      <c r="P24" s="121"/>
      <c r="Q24" s="121"/>
      <c r="R24" s="121"/>
      <c r="S24" s="121"/>
      <c r="T24" s="122"/>
      <c r="U24" s="38" t="s">
        <v>119</v>
      </c>
      <c r="V24" s="38" t="s">
        <v>67</v>
      </c>
      <c r="W24" s="127" t="s">
        <v>120</v>
      </c>
      <c r="X24" s="126"/>
      <c r="Y24" s="120" t="s">
        <v>77</v>
      </c>
      <c r="Z24" s="121"/>
      <c r="AA24" s="121"/>
      <c r="AB24" s="121"/>
      <c r="AC24" s="121"/>
      <c r="AD24" s="121"/>
      <c r="AE24" s="121"/>
      <c r="AF24" s="121"/>
      <c r="AG24" s="121"/>
      <c r="AH24" s="121"/>
      <c r="AI24" s="121"/>
      <c r="AJ24" s="121"/>
      <c r="AK24" s="121"/>
      <c r="AL24" s="121"/>
      <c r="AM24" s="121"/>
      <c r="AN24" s="122"/>
      <c r="AO24" s="120" t="s">
        <v>78</v>
      </c>
      <c r="AP24" s="121"/>
      <c r="AQ24" s="121"/>
      <c r="AR24" s="121"/>
      <c r="AS24" s="121"/>
      <c r="AT24" s="121"/>
      <c r="AU24" s="121"/>
      <c r="AV24" s="121"/>
      <c r="AW24" s="121"/>
      <c r="AX24" s="121"/>
      <c r="AY24" s="121"/>
      <c r="AZ24" s="121"/>
      <c r="BA24" s="121"/>
      <c r="BB24" s="121"/>
      <c r="BC24" s="121"/>
      <c r="BD24" s="122"/>
      <c r="BE24" s="120" t="s">
        <v>146</v>
      </c>
      <c r="BF24" s="121"/>
      <c r="BG24" s="121"/>
      <c r="BH24" s="121"/>
      <c r="BI24" s="121"/>
      <c r="BJ24" s="121"/>
      <c r="BK24" s="121"/>
      <c r="BL24" s="121"/>
      <c r="BM24" s="121"/>
      <c r="BN24" s="121"/>
      <c r="BO24" s="121"/>
      <c r="BP24" s="121"/>
      <c r="BQ24" s="121"/>
      <c r="BR24" s="121"/>
      <c r="BS24" s="121"/>
      <c r="BT24" s="122"/>
      <c r="BU24" s="120" t="s">
        <v>147</v>
      </c>
      <c r="BV24" s="121"/>
      <c r="BW24" s="121"/>
      <c r="BX24" s="121"/>
      <c r="BY24" s="121"/>
      <c r="BZ24" s="121"/>
      <c r="CA24" s="121"/>
      <c r="CB24" s="121"/>
      <c r="CC24" s="121"/>
      <c r="CD24" s="121"/>
      <c r="CE24" s="121"/>
      <c r="CF24" s="121"/>
      <c r="CG24" s="121"/>
      <c r="CH24" s="121"/>
      <c r="CI24" s="121"/>
      <c r="CJ24" s="122"/>
    </row>
    <row r="25" spans="1:88" s="44" customFormat="1" ht="142.35" customHeight="1">
      <c r="A25" s="42"/>
      <c r="B25" s="43" t="str">
        <f t="shared" ref="B25:L25" ca="1" si="4">IF(INDIRECT("'parameters recipe'!G"&amp;B27)&lt;&gt;0,INDIRECT("'parameters recipe'!G"&amp;B27),"")</f>
        <v>°C</v>
      </c>
      <c r="C25" s="43" t="str">
        <f t="shared" ca="1" si="4"/>
        <v/>
      </c>
      <c r="D25" s="43" t="str">
        <f t="shared" ca="1" si="4"/>
        <v>°C</v>
      </c>
      <c r="E25" s="43" t="str">
        <f t="shared" ca="1" si="4"/>
        <v/>
      </c>
      <c r="F25" s="43" t="str">
        <f t="shared" ca="1" si="4"/>
        <v>°C</v>
      </c>
      <c r="G25" s="43" t="str">
        <f t="shared" ca="1" si="4"/>
        <v/>
      </c>
      <c r="H25" s="43" t="str">
        <f t="shared" ca="1" si="4"/>
        <v>°C</v>
      </c>
      <c r="I25" s="43" t="str">
        <f t="shared" ca="1" si="4"/>
        <v/>
      </c>
      <c r="J25" s="43" t="str">
        <f t="shared" ca="1" si="4"/>
        <v>x 0.1 ml/s</v>
      </c>
      <c r="K25" s="43" t="str">
        <f t="shared" ca="1" si="4"/>
        <v/>
      </c>
      <c r="L25" s="43" t="str">
        <f t="shared" ca="1" si="4"/>
        <v>x 0.1 ml/s</v>
      </c>
      <c r="M25" s="43" t="str">
        <f ca="1">IF(INDIRECT("'parameters recipe'!G"&amp;M27)&lt;&gt;0,INDIRECT("'parameters recipe'!G"&amp;M27),"")</f>
        <v/>
      </c>
      <c r="N25" s="43" t="str">
        <f t="shared" ref="N25:BY25" ca="1" si="5">IF(INDIRECT("'parameters recipe'!G"&amp;N27)&lt;&gt;0,INDIRECT("'parameters recipe'!G"&amp;N27),"")</f>
        <v>%</v>
      </c>
      <c r="O25" s="43" t="str">
        <f t="shared" ca="1" si="5"/>
        <v/>
      </c>
      <c r="P25" s="43" t="str">
        <f t="shared" ca="1" si="5"/>
        <v>x 0.1 Bar</v>
      </c>
      <c r="Q25" s="43" t="str">
        <f t="shared" ca="1" si="5"/>
        <v>x 0.1 Bar</v>
      </c>
      <c r="R25" s="43" t="str">
        <f t="shared" ca="1" si="5"/>
        <v>ml</v>
      </c>
      <c r="S25" s="43" t="str">
        <f t="shared" ca="1" si="5"/>
        <v>ml</v>
      </c>
      <c r="T25" s="43" t="str">
        <f t="shared" ca="1" si="5"/>
        <v>-</v>
      </c>
      <c r="U25" s="43" t="str">
        <f t="shared" ca="1" si="5"/>
        <v/>
      </c>
      <c r="V25" s="43" t="str">
        <f t="shared" ca="1" si="5"/>
        <v/>
      </c>
      <c r="W25" s="43" t="str">
        <f t="shared" ca="1" si="5"/>
        <v/>
      </c>
      <c r="X25" s="43" t="str">
        <f t="shared" ca="1" si="5"/>
        <v/>
      </c>
      <c r="Y25" s="43" t="str">
        <f t="shared" ca="1" si="5"/>
        <v/>
      </c>
      <c r="Z25" s="43" t="str">
        <f t="shared" ca="1" si="5"/>
        <v/>
      </c>
      <c r="AA25" s="43" t="str">
        <f t="shared" ca="1" si="5"/>
        <v/>
      </c>
      <c r="AB25" s="43" t="str">
        <f t="shared" ca="1" si="5"/>
        <v/>
      </c>
      <c r="AC25" s="43" t="str">
        <f t="shared" ca="1" si="5"/>
        <v/>
      </c>
      <c r="AD25" s="43" t="str">
        <f t="shared" ca="1" si="5"/>
        <v>-</v>
      </c>
      <c r="AE25" s="43" t="str">
        <f t="shared" ca="1" si="5"/>
        <v/>
      </c>
      <c r="AF25" s="43" t="str">
        <f t="shared" ca="1" si="5"/>
        <v/>
      </c>
      <c r="AG25" s="43" t="str">
        <f t="shared" ca="1" si="5"/>
        <v/>
      </c>
      <c r="AH25" s="43" t="str">
        <f t="shared" ca="1" si="5"/>
        <v/>
      </c>
      <c r="AI25" s="43" t="str">
        <f t="shared" ca="1" si="5"/>
        <v/>
      </c>
      <c r="AJ25" s="43" t="str">
        <f t="shared" ca="1" si="5"/>
        <v>x 0.1 s</v>
      </c>
      <c r="AK25" s="43" t="str">
        <f t="shared" ca="1" si="5"/>
        <v>-</v>
      </c>
      <c r="AL25" s="43" t="str">
        <f t="shared" ca="1" si="5"/>
        <v/>
      </c>
      <c r="AM25" s="43" t="str">
        <f t="shared" ca="1" si="5"/>
        <v/>
      </c>
      <c r="AN25" s="43" t="str">
        <f t="shared" ca="1" si="5"/>
        <v/>
      </c>
      <c r="AO25" s="43" t="str">
        <f t="shared" ca="1" si="5"/>
        <v>-</v>
      </c>
      <c r="AP25" s="43" t="str">
        <f t="shared" ca="1" si="5"/>
        <v/>
      </c>
      <c r="AQ25" s="43" t="str">
        <f t="shared" ca="1" si="5"/>
        <v/>
      </c>
      <c r="AR25" s="43" t="str">
        <f t="shared" ca="1" si="5"/>
        <v/>
      </c>
      <c r="AS25" s="43" t="str">
        <f t="shared" ca="1" si="5"/>
        <v>-</v>
      </c>
      <c r="AT25" s="43" t="str">
        <f t="shared" ca="1" si="5"/>
        <v>-</v>
      </c>
      <c r="AU25" s="43" t="str">
        <f t="shared" ca="1" si="5"/>
        <v>-</v>
      </c>
      <c r="AV25" s="43" t="str">
        <f t="shared" ca="1" si="5"/>
        <v>-</v>
      </c>
      <c r="AW25" s="43" t="str">
        <f t="shared" ca="1" si="5"/>
        <v>-</v>
      </c>
      <c r="AX25" s="43" t="str">
        <f t="shared" ca="1" si="5"/>
        <v>-</v>
      </c>
      <c r="AY25" s="43" t="str">
        <f t="shared" ca="1" si="5"/>
        <v>-</v>
      </c>
      <c r="AZ25" s="43" t="str">
        <f t="shared" ca="1" si="5"/>
        <v>-</v>
      </c>
      <c r="BA25" s="43" t="str">
        <f t="shared" ca="1" si="5"/>
        <v>-</v>
      </c>
      <c r="BB25" s="43" t="str">
        <f t="shared" ca="1" si="5"/>
        <v>-</v>
      </c>
      <c r="BC25" s="43" t="str">
        <f t="shared" ca="1" si="5"/>
        <v>-</v>
      </c>
      <c r="BD25" s="43" t="str">
        <f t="shared" ca="1" si="5"/>
        <v>-</v>
      </c>
      <c r="BE25" s="43" t="str">
        <f t="shared" ca="1" si="5"/>
        <v>-</v>
      </c>
      <c r="BF25" s="43" t="str">
        <f t="shared" ca="1" si="5"/>
        <v>-</v>
      </c>
      <c r="BG25" s="43" t="str">
        <f t="shared" ca="1" si="5"/>
        <v>-</v>
      </c>
      <c r="BH25" s="43" t="str">
        <f t="shared" ca="1" si="5"/>
        <v>-</v>
      </c>
      <c r="BI25" s="43" t="str">
        <f t="shared" ca="1" si="5"/>
        <v>-</v>
      </c>
      <c r="BJ25" s="43" t="str">
        <f t="shared" ca="1" si="5"/>
        <v>-</v>
      </c>
      <c r="BK25" s="43" t="str">
        <f t="shared" ca="1" si="5"/>
        <v>-</v>
      </c>
      <c r="BL25" s="43" t="str">
        <f t="shared" ca="1" si="5"/>
        <v>-</v>
      </c>
      <c r="BM25" s="43" t="str">
        <f t="shared" ca="1" si="5"/>
        <v>-</v>
      </c>
      <c r="BN25" s="43" t="str">
        <f t="shared" ca="1" si="5"/>
        <v>-</v>
      </c>
      <c r="BO25" s="43" t="str">
        <f t="shared" ca="1" si="5"/>
        <v>-</v>
      </c>
      <c r="BP25" s="43" t="str">
        <f t="shared" ca="1" si="5"/>
        <v>-</v>
      </c>
      <c r="BQ25" s="43" t="str">
        <f t="shared" ca="1" si="5"/>
        <v>-</v>
      </c>
      <c r="BR25" s="43" t="str">
        <f t="shared" ca="1" si="5"/>
        <v>-</v>
      </c>
      <c r="BS25" s="43" t="str">
        <f t="shared" ca="1" si="5"/>
        <v>-</v>
      </c>
      <c r="BT25" s="43" t="str">
        <f t="shared" ca="1" si="5"/>
        <v>-</v>
      </c>
      <c r="BU25" s="43" t="str">
        <f t="shared" ca="1" si="5"/>
        <v>-</v>
      </c>
      <c r="BV25" s="43" t="str">
        <f t="shared" ca="1" si="5"/>
        <v>-</v>
      </c>
      <c r="BW25" s="43" t="str">
        <f t="shared" ca="1" si="5"/>
        <v>-</v>
      </c>
      <c r="BX25" s="43" t="str">
        <f t="shared" ca="1" si="5"/>
        <v>-</v>
      </c>
      <c r="BY25" s="43" t="str">
        <f t="shared" ca="1" si="5"/>
        <v>-</v>
      </c>
      <c r="BZ25" s="43" t="str">
        <f t="shared" ref="BZ25:CJ25" ca="1" si="6">IF(INDIRECT("'parameters recipe'!G"&amp;BZ27)&lt;&gt;0,INDIRECT("'parameters recipe'!G"&amp;BZ27),"")</f>
        <v>-</v>
      </c>
      <c r="CA25" s="43" t="str">
        <f t="shared" ca="1" si="6"/>
        <v>-</v>
      </c>
      <c r="CB25" s="43" t="str">
        <f t="shared" ca="1" si="6"/>
        <v>-</v>
      </c>
      <c r="CC25" s="43" t="str">
        <f t="shared" ca="1" si="6"/>
        <v>-</v>
      </c>
      <c r="CD25" s="43" t="str">
        <f t="shared" ca="1" si="6"/>
        <v>-</v>
      </c>
      <c r="CE25" s="43" t="str">
        <f t="shared" ca="1" si="6"/>
        <v>-</v>
      </c>
      <c r="CF25" s="43" t="str">
        <f t="shared" ca="1" si="6"/>
        <v>-</v>
      </c>
      <c r="CG25" s="43" t="str">
        <f t="shared" ca="1" si="6"/>
        <v>-</v>
      </c>
      <c r="CH25" s="43" t="str">
        <f t="shared" ca="1" si="6"/>
        <v>-</v>
      </c>
      <c r="CI25" s="43" t="str">
        <f t="shared" ca="1" si="6"/>
        <v>-</v>
      </c>
      <c r="CJ25" s="43" t="str">
        <f t="shared" ca="1" si="6"/>
        <v>-</v>
      </c>
    </row>
    <row r="26" spans="1:88" s="26" customFormat="1" ht="35.25">
      <c r="A26" s="28" t="s">
        <v>6</v>
      </c>
      <c r="B26" s="27">
        <f ca="1">IF(INDIRECT("'parameters recipe'!F"&amp;B27)&lt;&gt;0,INDIRECT("'parameters recipe'!F"&amp;B27),"")</f>
        <v>255</v>
      </c>
      <c r="C26" s="27" t="str">
        <f t="shared" ref="C26:BN26" ca="1" si="7">IF(INDIRECT("'parameters recipe'!F"&amp;C27)&lt;&gt;0,INDIRECT("'parameters recipe'!F"&amp;C27),"")</f>
        <v/>
      </c>
      <c r="D26" s="27">
        <f t="shared" ca="1" si="7"/>
        <v>255</v>
      </c>
      <c r="E26" s="27" t="str">
        <f t="shared" ca="1" si="7"/>
        <v/>
      </c>
      <c r="F26" s="27">
        <f t="shared" ca="1" si="7"/>
        <v>255</v>
      </c>
      <c r="G26" s="27" t="str">
        <f t="shared" ca="1" si="7"/>
        <v/>
      </c>
      <c r="H26" s="27">
        <f t="shared" ca="1" si="7"/>
        <v>255</v>
      </c>
      <c r="I26" s="27" t="str">
        <f t="shared" ca="1" si="7"/>
        <v/>
      </c>
      <c r="J26" s="27">
        <f t="shared" ca="1" si="7"/>
        <v>255</v>
      </c>
      <c r="K26" s="27" t="str">
        <f t="shared" ca="1" si="7"/>
        <v/>
      </c>
      <c r="L26" s="27">
        <f t="shared" ca="1" si="7"/>
        <v>255</v>
      </c>
      <c r="M26" s="27" t="str">
        <f t="shared" ca="1" si="7"/>
        <v/>
      </c>
      <c r="N26" s="27">
        <f t="shared" ca="1" si="7"/>
        <v>255</v>
      </c>
      <c r="O26" s="27" t="str">
        <f t="shared" ca="1" si="7"/>
        <v/>
      </c>
      <c r="P26" s="27">
        <f t="shared" ca="1" si="7"/>
        <v>255</v>
      </c>
      <c r="Q26" s="27">
        <f t="shared" ca="1" si="7"/>
        <v>255</v>
      </c>
      <c r="R26" s="27">
        <f t="shared" ca="1" si="7"/>
        <v>65535</v>
      </c>
      <c r="S26" s="27">
        <f t="shared" ca="1" si="7"/>
        <v>65535</v>
      </c>
      <c r="T26" s="27">
        <f t="shared" ca="1" si="7"/>
        <v>255</v>
      </c>
      <c r="U26" s="27" t="str">
        <f t="shared" ca="1" si="7"/>
        <v/>
      </c>
      <c r="V26" s="27" t="str">
        <f t="shared" ca="1" si="7"/>
        <v/>
      </c>
      <c r="W26" s="27" t="str">
        <f t="shared" ca="1" si="7"/>
        <v/>
      </c>
      <c r="X26" s="27" t="str">
        <f t="shared" ca="1" si="7"/>
        <v/>
      </c>
      <c r="Y26" s="27" t="str">
        <f t="shared" ca="1" si="7"/>
        <v/>
      </c>
      <c r="Z26" s="27" t="str">
        <f t="shared" ca="1" si="7"/>
        <v/>
      </c>
      <c r="AA26" s="27" t="str">
        <f t="shared" ca="1" si="7"/>
        <v/>
      </c>
      <c r="AB26" s="27" t="str">
        <f t="shared" ca="1" si="7"/>
        <v/>
      </c>
      <c r="AC26" s="27" t="str">
        <f t="shared" ca="1" si="7"/>
        <v/>
      </c>
      <c r="AD26" s="27">
        <f t="shared" ca="1" si="7"/>
        <v>255</v>
      </c>
      <c r="AE26" s="27" t="str">
        <f t="shared" ca="1" si="7"/>
        <v/>
      </c>
      <c r="AF26" s="27" t="str">
        <f t="shared" ca="1" si="7"/>
        <v/>
      </c>
      <c r="AG26" s="27" t="str">
        <f t="shared" ca="1" si="7"/>
        <v/>
      </c>
      <c r="AH26" s="27" t="str">
        <f t="shared" ca="1" si="7"/>
        <v/>
      </c>
      <c r="AI26" s="27" t="str">
        <f t="shared" ca="1" si="7"/>
        <v/>
      </c>
      <c r="AJ26" s="27">
        <f t="shared" ca="1" si="7"/>
        <v>65535</v>
      </c>
      <c r="AK26" s="27">
        <f t="shared" ca="1" si="7"/>
        <v>2</v>
      </c>
      <c r="AL26" s="27" t="str">
        <f t="shared" ca="1" si="7"/>
        <v/>
      </c>
      <c r="AM26" s="27" t="str">
        <f t="shared" ca="1" si="7"/>
        <v/>
      </c>
      <c r="AN26" s="27" t="str">
        <f t="shared" ca="1" si="7"/>
        <v/>
      </c>
      <c r="AO26" s="27">
        <f t="shared" ca="1" si="7"/>
        <v>2</v>
      </c>
      <c r="AP26" s="27" t="str">
        <f t="shared" ca="1" si="7"/>
        <v/>
      </c>
      <c r="AQ26" s="27" t="str">
        <f t="shared" ca="1" si="7"/>
        <v/>
      </c>
      <c r="AR26" s="27" t="str">
        <f t="shared" ca="1" si="7"/>
        <v/>
      </c>
      <c r="AS26" s="27">
        <f t="shared" ca="1" si="7"/>
        <v>65535</v>
      </c>
      <c r="AT26" s="27" t="str">
        <f t="shared" ca="1" si="7"/>
        <v/>
      </c>
      <c r="AU26" s="27" t="str">
        <f t="shared" ca="1" si="7"/>
        <v/>
      </c>
      <c r="AV26" s="27" t="str">
        <f t="shared" ca="1" si="7"/>
        <v/>
      </c>
      <c r="AW26" s="27" t="str">
        <f t="shared" ca="1" si="7"/>
        <v/>
      </c>
      <c r="AX26" s="27" t="str">
        <f t="shared" ca="1" si="7"/>
        <v/>
      </c>
      <c r="AY26" s="27" t="str">
        <f t="shared" ca="1" si="7"/>
        <v/>
      </c>
      <c r="AZ26" s="27" t="str">
        <f t="shared" ca="1" si="7"/>
        <v/>
      </c>
      <c r="BA26" s="27" t="str">
        <f t="shared" ca="1" si="7"/>
        <v/>
      </c>
      <c r="BB26" s="27" t="str">
        <f t="shared" ca="1" si="7"/>
        <v/>
      </c>
      <c r="BC26" s="27" t="str">
        <f t="shared" ca="1" si="7"/>
        <v/>
      </c>
      <c r="BD26" s="27" t="str">
        <f t="shared" ca="1" si="7"/>
        <v/>
      </c>
      <c r="BE26" s="27" t="str">
        <f t="shared" ca="1" si="7"/>
        <v/>
      </c>
      <c r="BF26" s="27" t="str">
        <f t="shared" ca="1" si="7"/>
        <v/>
      </c>
      <c r="BG26" s="27" t="str">
        <f t="shared" ca="1" si="7"/>
        <v/>
      </c>
      <c r="BH26" s="27" t="str">
        <f t="shared" ca="1" si="7"/>
        <v/>
      </c>
      <c r="BI26" s="27">
        <f t="shared" ca="1" si="7"/>
        <v>65535</v>
      </c>
      <c r="BJ26" s="27" t="str">
        <f t="shared" ca="1" si="7"/>
        <v/>
      </c>
      <c r="BK26" s="27" t="str">
        <f t="shared" ca="1" si="7"/>
        <v/>
      </c>
      <c r="BL26" s="27" t="str">
        <f t="shared" ca="1" si="7"/>
        <v/>
      </c>
      <c r="BM26" s="27" t="str">
        <f t="shared" ca="1" si="7"/>
        <v/>
      </c>
      <c r="BN26" s="27" t="str">
        <f t="shared" ca="1" si="7"/>
        <v/>
      </c>
      <c r="BO26" s="27" t="str">
        <f t="shared" ref="BO26:CJ26" ca="1" si="8">IF(INDIRECT("'parameters recipe'!F"&amp;BO27)&lt;&gt;0,INDIRECT("'parameters recipe'!F"&amp;BO27),"")</f>
        <v/>
      </c>
      <c r="BP26" s="27" t="str">
        <f t="shared" ca="1" si="8"/>
        <v/>
      </c>
      <c r="BQ26" s="27" t="str">
        <f t="shared" ca="1" si="8"/>
        <v/>
      </c>
      <c r="BR26" s="27" t="str">
        <f t="shared" ca="1" si="8"/>
        <v/>
      </c>
      <c r="BS26" s="27" t="str">
        <f t="shared" ca="1" si="8"/>
        <v/>
      </c>
      <c r="BT26" s="27" t="str">
        <f t="shared" ca="1" si="8"/>
        <v/>
      </c>
      <c r="BU26" s="27" t="str">
        <f t="shared" ca="1" si="8"/>
        <v/>
      </c>
      <c r="BV26" s="27" t="str">
        <f t="shared" ca="1" si="8"/>
        <v/>
      </c>
      <c r="BW26" s="27" t="str">
        <f t="shared" ca="1" si="8"/>
        <v/>
      </c>
      <c r="BX26" s="27" t="str">
        <f t="shared" ca="1" si="8"/>
        <v/>
      </c>
      <c r="BY26" s="27">
        <f t="shared" ca="1" si="8"/>
        <v>65535</v>
      </c>
      <c r="BZ26" s="27" t="str">
        <f t="shared" ca="1" si="8"/>
        <v/>
      </c>
      <c r="CA26" s="27" t="str">
        <f t="shared" ca="1" si="8"/>
        <v/>
      </c>
      <c r="CB26" s="27" t="str">
        <f t="shared" ca="1" si="8"/>
        <v/>
      </c>
      <c r="CC26" s="27" t="str">
        <f t="shared" ca="1" si="8"/>
        <v/>
      </c>
      <c r="CD26" s="27" t="str">
        <f t="shared" ca="1" si="8"/>
        <v/>
      </c>
      <c r="CE26" s="27" t="str">
        <f t="shared" ca="1" si="8"/>
        <v/>
      </c>
      <c r="CF26" s="27" t="str">
        <f t="shared" ca="1" si="8"/>
        <v/>
      </c>
      <c r="CG26" s="27" t="str">
        <f t="shared" ca="1" si="8"/>
        <v/>
      </c>
      <c r="CH26" s="27" t="str">
        <f t="shared" ca="1" si="8"/>
        <v/>
      </c>
      <c r="CI26" s="27" t="str">
        <f t="shared" ca="1" si="8"/>
        <v/>
      </c>
      <c r="CJ26" s="27" t="str">
        <f t="shared" ca="1" si="8"/>
        <v/>
      </c>
    </row>
    <row r="27" spans="1:88" s="29" customFormat="1" hidden="1">
      <c r="A27" s="30" t="s">
        <v>50</v>
      </c>
      <c r="B27" s="31">
        <v>5</v>
      </c>
      <c r="C27" s="31">
        <f>B27+1</f>
        <v>6</v>
      </c>
      <c r="D27" s="31">
        <f t="shared" ref="D27:BO27" si="9">C27+1</f>
        <v>7</v>
      </c>
      <c r="E27" s="31">
        <f t="shared" si="9"/>
        <v>8</v>
      </c>
      <c r="F27" s="31">
        <f t="shared" si="9"/>
        <v>9</v>
      </c>
      <c r="G27" s="31">
        <f t="shared" si="9"/>
        <v>10</v>
      </c>
      <c r="H27" s="31">
        <f t="shared" si="9"/>
        <v>11</v>
      </c>
      <c r="I27" s="31">
        <f t="shared" si="9"/>
        <v>12</v>
      </c>
      <c r="J27" s="31">
        <f t="shared" si="9"/>
        <v>13</v>
      </c>
      <c r="K27" s="31">
        <f t="shared" si="9"/>
        <v>14</v>
      </c>
      <c r="L27" s="31">
        <f t="shared" si="9"/>
        <v>15</v>
      </c>
      <c r="M27" s="31">
        <f t="shared" si="9"/>
        <v>16</v>
      </c>
      <c r="N27" s="31">
        <f t="shared" si="9"/>
        <v>17</v>
      </c>
      <c r="O27" s="31">
        <f t="shared" si="9"/>
        <v>18</v>
      </c>
      <c r="P27" s="31">
        <f t="shared" si="9"/>
        <v>19</v>
      </c>
      <c r="Q27" s="31">
        <f t="shared" si="9"/>
        <v>20</v>
      </c>
      <c r="R27" s="31">
        <f t="shared" si="9"/>
        <v>21</v>
      </c>
      <c r="S27" s="31">
        <f t="shared" si="9"/>
        <v>22</v>
      </c>
      <c r="T27" s="31">
        <f t="shared" si="9"/>
        <v>23</v>
      </c>
      <c r="U27" s="31">
        <f t="shared" si="9"/>
        <v>24</v>
      </c>
      <c r="V27" s="31">
        <f t="shared" si="9"/>
        <v>25</v>
      </c>
      <c r="W27" s="31">
        <f t="shared" si="9"/>
        <v>26</v>
      </c>
      <c r="X27" s="31">
        <f t="shared" si="9"/>
        <v>27</v>
      </c>
      <c r="Y27" s="31">
        <f t="shared" si="9"/>
        <v>28</v>
      </c>
      <c r="Z27" s="31">
        <f t="shared" si="9"/>
        <v>29</v>
      </c>
      <c r="AA27" s="31">
        <f t="shared" si="9"/>
        <v>30</v>
      </c>
      <c r="AB27" s="31">
        <f t="shared" si="9"/>
        <v>31</v>
      </c>
      <c r="AC27" s="31">
        <f t="shared" si="9"/>
        <v>32</v>
      </c>
      <c r="AD27" s="31">
        <f t="shared" si="9"/>
        <v>33</v>
      </c>
      <c r="AE27" s="31">
        <f t="shared" si="9"/>
        <v>34</v>
      </c>
      <c r="AF27" s="31">
        <f t="shared" si="9"/>
        <v>35</v>
      </c>
      <c r="AG27" s="31">
        <f t="shared" si="9"/>
        <v>36</v>
      </c>
      <c r="AH27" s="31">
        <f t="shared" si="9"/>
        <v>37</v>
      </c>
      <c r="AI27" s="31">
        <f t="shared" si="9"/>
        <v>38</v>
      </c>
      <c r="AJ27" s="31">
        <f t="shared" si="9"/>
        <v>39</v>
      </c>
      <c r="AK27" s="31">
        <f t="shared" si="9"/>
        <v>40</v>
      </c>
      <c r="AL27" s="31">
        <f t="shared" si="9"/>
        <v>41</v>
      </c>
      <c r="AM27" s="31">
        <f t="shared" si="9"/>
        <v>42</v>
      </c>
      <c r="AN27" s="31">
        <f t="shared" si="9"/>
        <v>43</v>
      </c>
      <c r="AO27" s="31">
        <f t="shared" si="9"/>
        <v>44</v>
      </c>
      <c r="AP27" s="31">
        <f t="shared" si="9"/>
        <v>45</v>
      </c>
      <c r="AQ27" s="31">
        <f t="shared" si="9"/>
        <v>46</v>
      </c>
      <c r="AR27" s="31">
        <f t="shared" si="9"/>
        <v>47</v>
      </c>
      <c r="AS27" s="31">
        <f t="shared" si="9"/>
        <v>48</v>
      </c>
      <c r="AT27" s="31">
        <f t="shared" si="9"/>
        <v>49</v>
      </c>
      <c r="AU27" s="31">
        <f t="shared" si="9"/>
        <v>50</v>
      </c>
      <c r="AV27" s="31">
        <f t="shared" si="9"/>
        <v>51</v>
      </c>
      <c r="AW27" s="31">
        <f t="shared" si="9"/>
        <v>52</v>
      </c>
      <c r="AX27" s="31">
        <f t="shared" si="9"/>
        <v>53</v>
      </c>
      <c r="AY27" s="31">
        <f t="shared" si="9"/>
        <v>54</v>
      </c>
      <c r="AZ27" s="31">
        <f t="shared" si="9"/>
        <v>55</v>
      </c>
      <c r="BA27" s="31">
        <f t="shared" si="9"/>
        <v>56</v>
      </c>
      <c r="BB27" s="31">
        <f t="shared" si="9"/>
        <v>57</v>
      </c>
      <c r="BC27" s="31">
        <f t="shared" si="9"/>
        <v>58</v>
      </c>
      <c r="BD27" s="31">
        <f t="shared" si="9"/>
        <v>59</v>
      </c>
      <c r="BE27" s="31">
        <f t="shared" si="9"/>
        <v>60</v>
      </c>
      <c r="BF27" s="31">
        <f t="shared" si="9"/>
        <v>61</v>
      </c>
      <c r="BG27" s="31">
        <f t="shared" si="9"/>
        <v>62</v>
      </c>
      <c r="BH27" s="31">
        <f t="shared" si="9"/>
        <v>63</v>
      </c>
      <c r="BI27" s="31">
        <f t="shared" si="9"/>
        <v>64</v>
      </c>
      <c r="BJ27" s="31">
        <f t="shared" si="9"/>
        <v>65</v>
      </c>
      <c r="BK27" s="31">
        <f t="shared" si="9"/>
        <v>66</v>
      </c>
      <c r="BL27" s="31">
        <f t="shared" si="9"/>
        <v>67</v>
      </c>
      <c r="BM27" s="31">
        <f t="shared" si="9"/>
        <v>68</v>
      </c>
      <c r="BN27" s="31">
        <f t="shared" si="9"/>
        <v>69</v>
      </c>
      <c r="BO27" s="31">
        <f t="shared" si="9"/>
        <v>70</v>
      </c>
      <c r="BP27" s="31">
        <f t="shared" ref="BP27:CJ27" si="10">BO27+1</f>
        <v>71</v>
      </c>
      <c r="BQ27" s="31">
        <f t="shared" si="10"/>
        <v>72</v>
      </c>
      <c r="BR27" s="31">
        <f t="shared" si="10"/>
        <v>73</v>
      </c>
      <c r="BS27" s="31">
        <f t="shared" si="10"/>
        <v>74</v>
      </c>
      <c r="BT27" s="31">
        <f t="shared" si="10"/>
        <v>75</v>
      </c>
      <c r="BU27" s="31">
        <f t="shared" si="10"/>
        <v>76</v>
      </c>
      <c r="BV27" s="31">
        <f t="shared" si="10"/>
        <v>77</v>
      </c>
      <c r="BW27" s="31">
        <f t="shared" si="10"/>
        <v>78</v>
      </c>
      <c r="BX27" s="31">
        <f t="shared" si="10"/>
        <v>79</v>
      </c>
      <c r="BY27" s="31">
        <f t="shared" si="10"/>
        <v>80</v>
      </c>
      <c r="BZ27" s="31">
        <f t="shared" si="10"/>
        <v>81</v>
      </c>
      <c r="CA27" s="31">
        <f t="shared" si="10"/>
        <v>82</v>
      </c>
      <c r="CB27" s="31">
        <f t="shared" si="10"/>
        <v>83</v>
      </c>
      <c r="CC27" s="31">
        <f t="shared" si="10"/>
        <v>84</v>
      </c>
      <c r="CD27" s="31">
        <f t="shared" si="10"/>
        <v>85</v>
      </c>
      <c r="CE27" s="31">
        <f t="shared" si="10"/>
        <v>86</v>
      </c>
      <c r="CF27" s="31">
        <f t="shared" si="10"/>
        <v>87</v>
      </c>
      <c r="CG27" s="31">
        <f t="shared" si="10"/>
        <v>88</v>
      </c>
      <c r="CH27" s="31">
        <f t="shared" si="10"/>
        <v>89</v>
      </c>
      <c r="CI27" s="31">
        <f t="shared" si="10"/>
        <v>90</v>
      </c>
      <c r="CJ27" s="31">
        <f t="shared" si="10"/>
        <v>91</v>
      </c>
    </row>
    <row r="28" spans="1:88">
      <c r="A28" s="135" t="s">
        <v>21</v>
      </c>
      <c r="B28" s="32">
        <v>90</v>
      </c>
      <c r="C28" s="32">
        <v>90</v>
      </c>
      <c r="D28" s="32">
        <v>0</v>
      </c>
      <c r="E28" s="32">
        <v>0</v>
      </c>
      <c r="F28" s="32">
        <v>25</v>
      </c>
      <c r="G28" s="32">
        <v>25</v>
      </c>
      <c r="H28" s="32">
        <v>0</v>
      </c>
      <c r="I28" s="32">
        <v>0</v>
      </c>
      <c r="J28" s="32">
        <v>0</v>
      </c>
      <c r="K28" s="32">
        <v>0</v>
      </c>
      <c r="L28" s="32">
        <v>0</v>
      </c>
      <c r="M28" s="32">
        <v>0</v>
      </c>
      <c r="N28" s="32">
        <v>1</v>
      </c>
      <c r="O28" s="32">
        <v>0</v>
      </c>
      <c r="P28" s="32">
        <v>0</v>
      </c>
      <c r="Q28" s="32">
        <v>1</v>
      </c>
      <c r="R28" s="32">
        <v>0</v>
      </c>
      <c r="S28" s="32">
        <v>1</v>
      </c>
      <c r="T28" s="32">
        <v>0</v>
      </c>
      <c r="U28" s="32">
        <v>0</v>
      </c>
      <c r="V28" s="32">
        <v>300</v>
      </c>
      <c r="W28" s="32">
        <v>2</v>
      </c>
      <c r="X28" s="32">
        <v>2</v>
      </c>
      <c r="Y28" s="32">
        <v>0</v>
      </c>
      <c r="Z28" s="32">
        <v>0</v>
      </c>
      <c r="AA28" s="32">
        <v>0</v>
      </c>
      <c r="AB28" s="32">
        <v>0</v>
      </c>
      <c r="AC28" s="32">
        <v>0</v>
      </c>
      <c r="AD28" s="32">
        <v>0</v>
      </c>
      <c r="AE28" s="32">
        <v>0</v>
      </c>
      <c r="AF28" s="32">
        <v>1</v>
      </c>
      <c r="AG28" s="32">
        <v>1</v>
      </c>
      <c r="AH28" s="32">
        <v>0</v>
      </c>
      <c r="AI28" s="32">
        <v>0</v>
      </c>
      <c r="AJ28" s="32">
        <v>0</v>
      </c>
      <c r="AK28" s="32">
        <v>0</v>
      </c>
      <c r="AL28" s="32">
        <v>0</v>
      </c>
      <c r="AM28" s="32">
        <v>0</v>
      </c>
      <c r="AN28" s="32">
        <v>0</v>
      </c>
      <c r="AO28" s="32">
        <v>0</v>
      </c>
      <c r="AP28" s="32">
        <v>0</v>
      </c>
      <c r="AQ28" s="32">
        <v>0</v>
      </c>
      <c r="AR28" s="32">
        <v>0</v>
      </c>
      <c r="AS28" s="32">
        <v>0</v>
      </c>
      <c r="AT28" s="32">
        <v>0</v>
      </c>
      <c r="AU28" s="32">
        <v>0</v>
      </c>
      <c r="AV28" s="32">
        <v>0</v>
      </c>
      <c r="AW28" s="32">
        <v>0</v>
      </c>
      <c r="AX28" s="32">
        <v>0</v>
      </c>
      <c r="AY28" s="32">
        <v>0</v>
      </c>
      <c r="AZ28" s="32">
        <v>0</v>
      </c>
      <c r="BA28" s="32">
        <v>0</v>
      </c>
      <c r="BB28" s="32">
        <v>0</v>
      </c>
      <c r="BC28" s="32">
        <v>0</v>
      </c>
      <c r="BD28" s="32">
        <v>0</v>
      </c>
      <c r="BE28" s="32">
        <v>0</v>
      </c>
      <c r="BF28" s="32">
        <v>0</v>
      </c>
      <c r="BG28" s="32">
        <v>0</v>
      </c>
      <c r="BH28" s="32">
        <v>0</v>
      </c>
      <c r="BI28" s="32">
        <v>0</v>
      </c>
      <c r="BJ28" s="32">
        <v>0</v>
      </c>
      <c r="BK28" s="32">
        <v>0</v>
      </c>
      <c r="BL28" s="32">
        <v>0</v>
      </c>
      <c r="BM28" s="32">
        <v>0</v>
      </c>
      <c r="BN28" s="32">
        <v>0</v>
      </c>
      <c r="BO28" s="32">
        <v>0</v>
      </c>
      <c r="BP28" s="32">
        <v>0</v>
      </c>
      <c r="BQ28" s="32">
        <v>0</v>
      </c>
      <c r="BR28" s="32">
        <v>0</v>
      </c>
      <c r="BS28" s="32">
        <v>0</v>
      </c>
      <c r="BT28" s="32">
        <v>0</v>
      </c>
      <c r="BU28" s="32">
        <v>0</v>
      </c>
      <c r="BV28" s="32">
        <v>0</v>
      </c>
      <c r="BW28" s="32">
        <v>0</v>
      </c>
      <c r="BX28" s="32">
        <v>0</v>
      </c>
      <c r="BY28" s="32">
        <v>0</v>
      </c>
      <c r="BZ28" s="32">
        <v>0</v>
      </c>
      <c r="CA28" s="32">
        <v>0</v>
      </c>
      <c r="CB28" s="32">
        <v>0</v>
      </c>
      <c r="CC28" s="32">
        <v>0</v>
      </c>
      <c r="CD28" s="32">
        <v>0</v>
      </c>
      <c r="CE28" s="32">
        <v>0</v>
      </c>
      <c r="CF28" s="32">
        <v>0</v>
      </c>
      <c r="CG28" s="32">
        <v>0</v>
      </c>
      <c r="CH28" s="32">
        <v>0</v>
      </c>
      <c r="CI28" s="32">
        <v>0</v>
      </c>
      <c r="CJ28" s="32">
        <v>0</v>
      </c>
    </row>
    <row r="29" spans="1:88" hidden="1">
      <c r="A29" s="136"/>
      <c r="B29" s="39" t="e">
        <f ca="1">DEC2HEX(B28,INDIRECT("'parameters recipe'!$C"&amp;B$27))</f>
        <v>#NUM!</v>
      </c>
      <c r="C29" s="39" t="e">
        <f t="shared" ref="C29:L29" ca="1" si="11">DEC2HEX(C28,INDIRECT("'parameters recipe'!$C"&amp;C$27))</f>
        <v>#NUM!</v>
      </c>
      <c r="D29" s="39" t="str">
        <f t="shared" ca="1" si="11"/>
        <v>0</v>
      </c>
      <c r="E29" s="39" t="e">
        <f t="shared" ca="1" si="11"/>
        <v>#NUM!</v>
      </c>
      <c r="F29" s="39" t="e">
        <f t="shared" ca="1" si="11"/>
        <v>#NUM!</v>
      </c>
      <c r="G29" s="39" t="e">
        <f t="shared" ca="1" si="11"/>
        <v>#NUM!</v>
      </c>
      <c r="H29" s="39" t="str">
        <f t="shared" ca="1" si="11"/>
        <v>0</v>
      </c>
      <c r="I29" s="39" t="e">
        <f t="shared" ca="1" si="11"/>
        <v>#NUM!</v>
      </c>
      <c r="J29" s="39" t="str">
        <f t="shared" ca="1" si="11"/>
        <v>0</v>
      </c>
      <c r="K29" s="39" t="e">
        <f t="shared" ca="1" si="11"/>
        <v>#NUM!</v>
      </c>
      <c r="L29" s="39" t="str">
        <f t="shared" ca="1" si="11"/>
        <v>0</v>
      </c>
      <c r="M29" s="123" t="str">
        <f>BIN2HEX(CONCATENATE(M28,N28,O28,P28,Q28,R28,S28,T28),2)</f>
        <v>4A</v>
      </c>
      <c r="N29" s="124"/>
      <c r="O29" s="124"/>
      <c r="P29" s="124"/>
      <c r="Q29" s="124"/>
      <c r="R29" s="124"/>
      <c r="S29" s="124"/>
      <c r="T29" s="125"/>
      <c r="U29" s="39" t="e">
        <f t="shared" ref="U29:X29" ca="1" si="12">DEC2HEX(U28,INDIRECT("'parameters recipe'!$C"&amp;U$27))</f>
        <v>#NUM!</v>
      </c>
      <c r="V29" s="39" t="e">
        <f t="shared" ca="1" si="12"/>
        <v>#NUM!</v>
      </c>
      <c r="W29" s="39" t="e">
        <f t="shared" ca="1" si="12"/>
        <v>#NUM!</v>
      </c>
      <c r="X29" s="39" t="e">
        <f t="shared" ca="1" si="12"/>
        <v>#NUM!</v>
      </c>
      <c r="Y29" s="123" t="str">
        <f>BIN2HEX(CONCATENATE(Y28,Z28,AA28,AB28,AC28,AD28,AE28,AF28),2)</f>
        <v>01</v>
      </c>
      <c r="Z29" s="124"/>
      <c r="AA29" s="124"/>
      <c r="AB29" s="124"/>
      <c r="AC29" s="124"/>
      <c r="AD29" s="124"/>
      <c r="AE29" s="124"/>
      <c r="AF29" s="125"/>
      <c r="AG29" s="123" t="str">
        <f>BIN2HEX(CONCATENATE(AG28,AH28,AI28,AJ28,AK28,AL28,AM28,AN28),2)</f>
        <v>80</v>
      </c>
      <c r="AH29" s="124"/>
      <c r="AI29" s="124"/>
      <c r="AJ29" s="124"/>
      <c r="AK29" s="124"/>
      <c r="AL29" s="124"/>
      <c r="AM29" s="124"/>
      <c r="AN29" s="125"/>
      <c r="AO29" s="123" t="str">
        <f>BIN2HEX(CONCATENATE(AO28,AP28,AQ28,AR28,AS28,AT28,AU28,AV28),2)</f>
        <v>00</v>
      </c>
      <c r="AP29" s="124"/>
      <c r="AQ29" s="124"/>
      <c r="AR29" s="124"/>
      <c r="AS29" s="124"/>
      <c r="AT29" s="124"/>
      <c r="AU29" s="124"/>
      <c r="AV29" s="125"/>
      <c r="AW29" s="123" t="str">
        <f>BIN2HEX(CONCATENATE(AW28,AX28,AY28,AZ28,BA28,BB28,BC28,BD28),2)</f>
        <v>00</v>
      </c>
      <c r="AX29" s="124"/>
      <c r="AY29" s="124"/>
      <c r="AZ29" s="124"/>
      <c r="BA29" s="124"/>
      <c r="BB29" s="124"/>
      <c r="BC29" s="124"/>
      <c r="BD29" s="125"/>
      <c r="BE29" s="123" t="str">
        <f>BIN2HEX(CONCATENATE(BE28,BF28,BG28,BH28,BI28,BJ28,BK28,BL28),2)</f>
        <v>00</v>
      </c>
      <c r="BF29" s="124"/>
      <c r="BG29" s="124"/>
      <c r="BH29" s="124"/>
      <c r="BI29" s="124"/>
      <c r="BJ29" s="124"/>
      <c r="BK29" s="124"/>
      <c r="BL29" s="125"/>
      <c r="BM29" s="123" t="str">
        <f>BIN2HEX(CONCATENATE(BM28,BN28,BO28,BP28,BQ28,BR28,BS28,BT28),2)</f>
        <v>00</v>
      </c>
      <c r="BN29" s="124"/>
      <c r="BO29" s="124"/>
      <c r="BP29" s="124"/>
      <c r="BQ29" s="124"/>
      <c r="BR29" s="124"/>
      <c r="BS29" s="124"/>
      <c r="BT29" s="125"/>
      <c r="BU29" s="123" t="str">
        <f>BIN2HEX(CONCATENATE(BU28,BV28,BW28,BX28,BY28,BZ28,CA28,CB28),2)</f>
        <v>00</v>
      </c>
      <c r="BV29" s="124"/>
      <c r="BW29" s="124"/>
      <c r="BX29" s="124"/>
      <c r="BY29" s="124"/>
      <c r="BZ29" s="124"/>
      <c r="CA29" s="124"/>
      <c r="CB29" s="125"/>
      <c r="CC29" s="123" t="str">
        <f>BIN2HEX(CONCATENATE(CC28,CD28,CE28,CF28,CG28,CH28,CI28,CJ28),2)</f>
        <v>00</v>
      </c>
      <c r="CD29" s="124"/>
      <c r="CE29" s="124"/>
      <c r="CF29" s="124"/>
      <c r="CG29" s="124"/>
      <c r="CH29" s="124"/>
      <c r="CI29" s="124"/>
      <c r="CJ29" s="125"/>
    </row>
    <row r="30" spans="1:88">
      <c r="A30" s="135" t="s">
        <v>11</v>
      </c>
      <c r="B30" s="32">
        <v>0</v>
      </c>
      <c r="C30" s="32">
        <v>0</v>
      </c>
      <c r="D30" s="32">
        <v>0</v>
      </c>
      <c r="E30" s="32">
        <v>0</v>
      </c>
      <c r="F30" s="32">
        <v>0</v>
      </c>
      <c r="G30" s="32">
        <v>0</v>
      </c>
      <c r="H30" s="32">
        <v>0</v>
      </c>
      <c r="I30" s="32">
        <v>0</v>
      </c>
      <c r="J30" s="32">
        <v>0</v>
      </c>
      <c r="K30" s="32">
        <v>0</v>
      </c>
      <c r="L30" s="32">
        <v>0</v>
      </c>
      <c r="M30" s="32">
        <v>0</v>
      </c>
      <c r="N30" s="32">
        <v>0</v>
      </c>
      <c r="O30" s="32">
        <v>0</v>
      </c>
      <c r="P30" s="32">
        <v>0</v>
      </c>
      <c r="Q30" s="32">
        <v>0</v>
      </c>
      <c r="R30" s="32">
        <v>0</v>
      </c>
      <c r="S30" s="32">
        <v>0</v>
      </c>
      <c r="T30" s="32">
        <v>0</v>
      </c>
      <c r="U30" s="32">
        <v>0</v>
      </c>
      <c r="V30" s="32">
        <v>0</v>
      </c>
      <c r="W30" s="32">
        <v>0</v>
      </c>
      <c r="X30" s="32">
        <v>0</v>
      </c>
      <c r="Y30" s="32">
        <v>0</v>
      </c>
      <c r="Z30" s="32">
        <v>0</v>
      </c>
      <c r="AA30" s="32">
        <v>0</v>
      </c>
      <c r="AB30" s="32">
        <v>0</v>
      </c>
      <c r="AC30" s="32">
        <v>0</v>
      </c>
      <c r="AD30" s="32">
        <v>0</v>
      </c>
      <c r="AE30" s="32">
        <v>0</v>
      </c>
      <c r="AF30" s="32">
        <v>0</v>
      </c>
      <c r="AG30" s="32">
        <v>0</v>
      </c>
      <c r="AH30" s="32">
        <v>0</v>
      </c>
      <c r="AI30" s="32">
        <v>0</v>
      </c>
      <c r="AJ30" s="32">
        <v>0</v>
      </c>
      <c r="AK30" s="32">
        <v>0</v>
      </c>
      <c r="AL30" s="32">
        <v>0</v>
      </c>
      <c r="AM30" s="32">
        <v>0</v>
      </c>
      <c r="AN30" s="32">
        <v>0</v>
      </c>
      <c r="AO30" s="32">
        <v>0</v>
      </c>
      <c r="AP30" s="32">
        <v>0</v>
      </c>
      <c r="AQ30" s="32">
        <v>0</v>
      </c>
      <c r="AR30" s="32">
        <v>0</v>
      </c>
      <c r="AS30" s="32">
        <v>0</v>
      </c>
      <c r="AT30" s="32">
        <v>0</v>
      </c>
      <c r="AU30" s="32">
        <v>0</v>
      </c>
      <c r="AV30" s="32">
        <v>0</v>
      </c>
      <c r="AW30" s="32">
        <v>0</v>
      </c>
      <c r="AX30" s="32">
        <v>0</v>
      </c>
      <c r="AY30" s="32">
        <v>0</v>
      </c>
      <c r="AZ30" s="32">
        <v>0</v>
      </c>
      <c r="BA30" s="32">
        <v>0</v>
      </c>
      <c r="BB30" s="32">
        <v>0</v>
      </c>
      <c r="BC30" s="32">
        <v>0</v>
      </c>
      <c r="BD30" s="32">
        <v>0</v>
      </c>
      <c r="BE30" s="32">
        <v>0</v>
      </c>
      <c r="BF30" s="32">
        <v>0</v>
      </c>
      <c r="BG30" s="32">
        <v>0</v>
      </c>
      <c r="BH30" s="32">
        <v>0</v>
      </c>
      <c r="BI30" s="32">
        <v>0</v>
      </c>
      <c r="BJ30" s="32">
        <v>0</v>
      </c>
      <c r="BK30" s="32">
        <v>0</v>
      </c>
      <c r="BL30" s="32">
        <v>0</v>
      </c>
      <c r="BM30" s="32">
        <v>0</v>
      </c>
      <c r="BN30" s="32">
        <v>0</v>
      </c>
      <c r="BO30" s="32">
        <v>0</v>
      </c>
      <c r="BP30" s="32">
        <v>0</v>
      </c>
      <c r="BQ30" s="32">
        <v>0</v>
      </c>
      <c r="BR30" s="32">
        <v>0</v>
      </c>
      <c r="BS30" s="32">
        <v>0</v>
      </c>
      <c r="BT30" s="32">
        <v>0</v>
      </c>
      <c r="BU30" s="32">
        <v>0</v>
      </c>
      <c r="BV30" s="32">
        <v>0</v>
      </c>
      <c r="BW30" s="32">
        <v>0</v>
      </c>
      <c r="BX30" s="32">
        <v>0</v>
      </c>
      <c r="BY30" s="32">
        <v>0</v>
      </c>
      <c r="BZ30" s="32">
        <v>0</v>
      </c>
      <c r="CA30" s="32">
        <v>0</v>
      </c>
      <c r="CB30" s="32">
        <v>0</v>
      </c>
      <c r="CC30" s="32">
        <v>0</v>
      </c>
      <c r="CD30" s="32">
        <v>0</v>
      </c>
      <c r="CE30" s="32">
        <v>0</v>
      </c>
      <c r="CF30" s="32">
        <v>0</v>
      </c>
      <c r="CG30" s="32">
        <v>0</v>
      </c>
      <c r="CH30" s="32">
        <v>0</v>
      </c>
      <c r="CI30" s="32">
        <v>0</v>
      </c>
      <c r="CJ30" s="32">
        <v>0</v>
      </c>
    </row>
    <row r="31" spans="1:88" hidden="1">
      <c r="A31" s="136"/>
      <c r="B31" s="39" t="str">
        <f ca="1">DEC2HEX(B30,INDIRECT("'parameters recipe'!$C"&amp;B$27))</f>
        <v>0</v>
      </c>
      <c r="C31" s="39" t="e">
        <f t="shared" ref="C31:L31" ca="1" si="13">DEC2HEX(C30,INDIRECT("'parameters recipe'!$C"&amp;C$27))</f>
        <v>#NUM!</v>
      </c>
      <c r="D31" s="39" t="str">
        <f t="shared" ca="1" si="13"/>
        <v>0</v>
      </c>
      <c r="E31" s="39" t="e">
        <f t="shared" ca="1" si="13"/>
        <v>#NUM!</v>
      </c>
      <c r="F31" s="39" t="str">
        <f t="shared" ca="1" si="13"/>
        <v>0</v>
      </c>
      <c r="G31" s="39" t="e">
        <f t="shared" ca="1" si="13"/>
        <v>#NUM!</v>
      </c>
      <c r="H31" s="39" t="str">
        <f t="shared" ca="1" si="13"/>
        <v>0</v>
      </c>
      <c r="I31" s="39" t="e">
        <f t="shared" ca="1" si="13"/>
        <v>#NUM!</v>
      </c>
      <c r="J31" s="39" t="str">
        <f t="shared" ca="1" si="13"/>
        <v>0</v>
      </c>
      <c r="K31" s="39" t="e">
        <f t="shared" ca="1" si="13"/>
        <v>#NUM!</v>
      </c>
      <c r="L31" s="39" t="str">
        <f t="shared" ca="1" si="13"/>
        <v>0</v>
      </c>
      <c r="M31" s="123" t="str">
        <f>BIN2HEX(CONCATENATE(M30,N30,O30,P30,Q30,R30,S30,T30),2)</f>
        <v>00</v>
      </c>
      <c r="N31" s="124"/>
      <c r="O31" s="124"/>
      <c r="P31" s="124"/>
      <c r="Q31" s="124"/>
      <c r="R31" s="124"/>
      <c r="S31" s="124"/>
      <c r="T31" s="125"/>
      <c r="U31" s="39" t="e">
        <f t="shared" ref="U31:X31" ca="1" si="14">DEC2HEX(U30,INDIRECT("'parameters recipe'!$C"&amp;U$27))</f>
        <v>#NUM!</v>
      </c>
      <c r="V31" s="39" t="e">
        <f t="shared" ca="1" si="14"/>
        <v>#NUM!</v>
      </c>
      <c r="W31" s="39" t="e">
        <f t="shared" ca="1" si="14"/>
        <v>#NUM!</v>
      </c>
      <c r="X31" s="39" t="e">
        <f t="shared" ca="1" si="14"/>
        <v>#NUM!</v>
      </c>
      <c r="Y31" s="123" t="str">
        <f>BIN2HEX(CONCATENATE(Y30,Z30,AA30,AB30,AC30,AD30,AE30,AF30),2)</f>
        <v>00</v>
      </c>
      <c r="Z31" s="124"/>
      <c r="AA31" s="124"/>
      <c r="AB31" s="124"/>
      <c r="AC31" s="124"/>
      <c r="AD31" s="124"/>
      <c r="AE31" s="124"/>
      <c r="AF31" s="125"/>
      <c r="AG31" s="123" t="str">
        <f>BIN2HEX(CONCATENATE(AG30,AH30,AI30,AJ30,AK30,AL30,AM30,AN30),2)</f>
        <v>00</v>
      </c>
      <c r="AH31" s="124"/>
      <c r="AI31" s="124"/>
      <c r="AJ31" s="124"/>
      <c r="AK31" s="124"/>
      <c r="AL31" s="124"/>
      <c r="AM31" s="124"/>
      <c r="AN31" s="125"/>
      <c r="AO31" s="123" t="str">
        <f>BIN2HEX(CONCATENATE(AO30,AP30,AQ30,AR30,AS30,AT30,AU30,AV30),2)</f>
        <v>00</v>
      </c>
      <c r="AP31" s="124"/>
      <c r="AQ31" s="124"/>
      <c r="AR31" s="124"/>
      <c r="AS31" s="124"/>
      <c r="AT31" s="124"/>
      <c r="AU31" s="124"/>
      <c r="AV31" s="125"/>
      <c r="AW31" s="123" t="str">
        <f>BIN2HEX(CONCATENATE(AW30,AX30,AY30,AZ30,BA30,BB30,BC30,BD30),2)</f>
        <v>00</v>
      </c>
      <c r="AX31" s="124"/>
      <c r="AY31" s="124"/>
      <c r="AZ31" s="124"/>
      <c r="BA31" s="124"/>
      <c r="BB31" s="124"/>
      <c r="BC31" s="124"/>
      <c r="BD31" s="125"/>
      <c r="BE31" s="123" t="str">
        <f>BIN2HEX(CONCATENATE(BE30,BF30,BG30,BH30,BI30,BJ30,BK30,BL30),2)</f>
        <v>00</v>
      </c>
      <c r="BF31" s="124"/>
      <c r="BG31" s="124"/>
      <c r="BH31" s="124"/>
      <c r="BI31" s="124"/>
      <c r="BJ31" s="124"/>
      <c r="BK31" s="124"/>
      <c r="BL31" s="125"/>
      <c r="BM31" s="123" t="str">
        <f>BIN2HEX(CONCATENATE(BM30,BN30,BO30,BP30,BQ30,BR30,BS30,BT30),2)</f>
        <v>00</v>
      </c>
      <c r="BN31" s="124"/>
      <c r="BO31" s="124"/>
      <c r="BP31" s="124"/>
      <c r="BQ31" s="124"/>
      <c r="BR31" s="124"/>
      <c r="BS31" s="124"/>
      <c r="BT31" s="125"/>
      <c r="BU31" s="123" t="str">
        <f>BIN2HEX(CONCATENATE(BU30,BV30,BW30,BX30,BY30,BZ30,CA30,CB30),2)</f>
        <v>00</v>
      </c>
      <c r="BV31" s="124"/>
      <c r="BW31" s="124"/>
      <c r="BX31" s="124"/>
      <c r="BY31" s="124"/>
      <c r="BZ31" s="124"/>
      <c r="CA31" s="124"/>
      <c r="CB31" s="125"/>
      <c r="CC31" s="123" t="str">
        <f>BIN2HEX(CONCATENATE(CC30,CD30,CE30,CF30,CG30,CH30,CI30,CJ30),2)</f>
        <v>00</v>
      </c>
      <c r="CD31" s="124"/>
      <c r="CE31" s="124"/>
      <c r="CF31" s="124"/>
      <c r="CG31" s="124"/>
      <c r="CH31" s="124"/>
      <c r="CI31" s="124"/>
      <c r="CJ31" s="125"/>
    </row>
    <row r="32" spans="1:88">
      <c r="A32" s="135" t="s">
        <v>12</v>
      </c>
      <c r="B32" s="32">
        <v>0</v>
      </c>
      <c r="C32" s="32">
        <v>0</v>
      </c>
      <c r="D32" s="32">
        <v>0</v>
      </c>
      <c r="E32" s="32">
        <v>0</v>
      </c>
      <c r="F32" s="32">
        <v>0</v>
      </c>
      <c r="G32" s="32">
        <v>0</v>
      </c>
      <c r="H32" s="32">
        <v>0</v>
      </c>
      <c r="I32" s="32">
        <v>0</v>
      </c>
      <c r="J32" s="32">
        <v>0</v>
      </c>
      <c r="K32" s="32">
        <v>0</v>
      </c>
      <c r="L32" s="32">
        <v>0</v>
      </c>
      <c r="M32" s="32">
        <v>0</v>
      </c>
      <c r="N32" s="32">
        <v>0</v>
      </c>
      <c r="O32" s="32">
        <v>0</v>
      </c>
      <c r="P32" s="32">
        <v>0</v>
      </c>
      <c r="Q32" s="32">
        <v>0</v>
      </c>
      <c r="R32" s="32">
        <v>0</v>
      </c>
      <c r="S32" s="32">
        <v>0</v>
      </c>
      <c r="T32" s="32">
        <v>0</v>
      </c>
      <c r="U32" s="32">
        <v>0</v>
      </c>
      <c r="V32" s="32">
        <v>0</v>
      </c>
      <c r="W32" s="32">
        <v>0</v>
      </c>
      <c r="X32" s="32">
        <v>0</v>
      </c>
      <c r="Y32" s="32">
        <v>0</v>
      </c>
      <c r="Z32" s="32">
        <v>0</v>
      </c>
      <c r="AA32" s="32">
        <v>0</v>
      </c>
      <c r="AB32" s="32">
        <v>0</v>
      </c>
      <c r="AC32" s="32">
        <v>0</v>
      </c>
      <c r="AD32" s="32">
        <v>0</v>
      </c>
      <c r="AE32" s="32">
        <v>0</v>
      </c>
      <c r="AF32" s="32">
        <v>0</v>
      </c>
      <c r="AG32" s="32">
        <v>0</v>
      </c>
      <c r="AH32" s="32">
        <v>0</v>
      </c>
      <c r="AI32" s="32">
        <v>0</v>
      </c>
      <c r="AJ32" s="32">
        <v>0</v>
      </c>
      <c r="AK32" s="32">
        <v>0</v>
      </c>
      <c r="AL32" s="32">
        <v>0</v>
      </c>
      <c r="AM32" s="32">
        <v>0</v>
      </c>
      <c r="AN32" s="32">
        <v>0</v>
      </c>
      <c r="AO32" s="32">
        <v>0</v>
      </c>
      <c r="AP32" s="32">
        <v>0</v>
      </c>
      <c r="AQ32" s="32">
        <v>0</v>
      </c>
      <c r="AR32" s="32">
        <v>0</v>
      </c>
      <c r="AS32" s="32">
        <v>0</v>
      </c>
      <c r="AT32" s="32">
        <v>0</v>
      </c>
      <c r="AU32" s="32">
        <v>0</v>
      </c>
      <c r="AV32" s="32">
        <v>0</v>
      </c>
      <c r="AW32" s="32">
        <v>0</v>
      </c>
      <c r="AX32" s="32">
        <v>0</v>
      </c>
      <c r="AY32" s="32">
        <v>0</v>
      </c>
      <c r="AZ32" s="32">
        <v>0</v>
      </c>
      <c r="BA32" s="32">
        <v>0</v>
      </c>
      <c r="BB32" s="32">
        <v>0</v>
      </c>
      <c r="BC32" s="32">
        <v>0</v>
      </c>
      <c r="BD32" s="32">
        <v>0</v>
      </c>
      <c r="BE32" s="32">
        <v>0</v>
      </c>
      <c r="BF32" s="32">
        <v>0</v>
      </c>
      <c r="BG32" s="32">
        <v>0</v>
      </c>
      <c r="BH32" s="32">
        <v>0</v>
      </c>
      <c r="BI32" s="32">
        <v>0</v>
      </c>
      <c r="BJ32" s="32">
        <v>0</v>
      </c>
      <c r="BK32" s="32">
        <v>0</v>
      </c>
      <c r="BL32" s="32">
        <v>0</v>
      </c>
      <c r="BM32" s="32">
        <v>0</v>
      </c>
      <c r="BN32" s="32">
        <v>0</v>
      </c>
      <c r="BO32" s="32">
        <v>0</v>
      </c>
      <c r="BP32" s="32">
        <v>0</v>
      </c>
      <c r="BQ32" s="32">
        <v>0</v>
      </c>
      <c r="BR32" s="32">
        <v>0</v>
      </c>
      <c r="BS32" s="32">
        <v>0</v>
      </c>
      <c r="BT32" s="32">
        <v>0</v>
      </c>
      <c r="BU32" s="32">
        <v>0</v>
      </c>
      <c r="BV32" s="32">
        <v>0</v>
      </c>
      <c r="BW32" s="32">
        <v>0</v>
      </c>
      <c r="BX32" s="32">
        <v>0</v>
      </c>
      <c r="BY32" s="32">
        <v>0</v>
      </c>
      <c r="BZ32" s="32">
        <v>0</v>
      </c>
      <c r="CA32" s="32">
        <v>0</v>
      </c>
      <c r="CB32" s="32">
        <v>0</v>
      </c>
      <c r="CC32" s="32">
        <v>0</v>
      </c>
      <c r="CD32" s="32">
        <v>0</v>
      </c>
      <c r="CE32" s="32">
        <v>0</v>
      </c>
      <c r="CF32" s="32">
        <v>0</v>
      </c>
      <c r="CG32" s="32">
        <v>0</v>
      </c>
      <c r="CH32" s="32">
        <v>0</v>
      </c>
      <c r="CI32" s="32">
        <v>0</v>
      </c>
      <c r="CJ32" s="32">
        <v>0</v>
      </c>
    </row>
    <row r="33" spans="1:88" hidden="1">
      <c r="A33" s="136"/>
      <c r="B33" s="39" t="str">
        <f ca="1">DEC2HEX(B32,INDIRECT("'parameters recipe'!$C"&amp;B$27))</f>
        <v>0</v>
      </c>
      <c r="C33" s="39" t="e">
        <f t="shared" ref="C33:L33" ca="1" si="15">DEC2HEX(C32,INDIRECT("'parameters recipe'!$C"&amp;C$27))</f>
        <v>#NUM!</v>
      </c>
      <c r="D33" s="39" t="str">
        <f t="shared" ca="1" si="15"/>
        <v>0</v>
      </c>
      <c r="E33" s="39" t="e">
        <f t="shared" ca="1" si="15"/>
        <v>#NUM!</v>
      </c>
      <c r="F33" s="39" t="str">
        <f t="shared" ca="1" si="15"/>
        <v>0</v>
      </c>
      <c r="G33" s="39" t="e">
        <f t="shared" ca="1" si="15"/>
        <v>#NUM!</v>
      </c>
      <c r="H33" s="39" t="str">
        <f t="shared" ca="1" si="15"/>
        <v>0</v>
      </c>
      <c r="I33" s="39" t="e">
        <f t="shared" ca="1" si="15"/>
        <v>#NUM!</v>
      </c>
      <c r="J33" s="39" t="str">
        <f t="shared" ca="1" si="15"/>
        <v>0</v>
      </c>
      <c r="K33" s="39" t="e">
        <f t="shared" ca="1" si="15"/>
        <v>#NUM!</v>
      </c>
      <c r="L33" s="39" t="str">
        <f t="shared" ca="1" si="15"/>
        <v>0</v>
      </c>
      <c r="M33" s="123" t="str">
        <f>BIN2HEX(CONCATENATE(M32,N32,O32,P32,Q32,R32,S32,T32),2)</f>
        <v>00</v>
      </c>
      <c r="N33" s="124"/>
      <c r="O33" s="124"/>
      <c r="P33" s="124"/>
      <c r="Q33" s="124"/>
      <c r="R33" s="124"/>
      <c r="S33" s="124"/>
      <c r="T33" s="125"/>
      <c r="U33" s="39" t="e">
        <f t="shared" ref="U33:X33" ca="1" si="16">DEC2HEX(U32,INDIRECT("'parameters recipe'!$C"&amp;U$27))</f>
        <v>#NUM!</v>
      </c>
      <c r="V33" s="39" t="e">
        <f t="shared" ca="1" si="16"/>
        <v>#NUM!</v>
      </c>
      <c r="W33" s="39" t="e">
        <f t="shared" ca="1" si="16"/>
        <v>#NUM!</v>
      </c>
      <c r="X33" s="39" t="e">
        <f t="shared" ca="1" si="16"/>
        <v>#NUM!</v>
      </c>
      <c r="Y33" s="123" t="str">
        <f>BIN2HEX(CONCATENATE(Y32,Z32,AA32,AB32,AC32,AD32,AE32,AF32),2)</f>
        <v>00</v>
      </c>
      <c r="Z33" s="124"/>
      <c r="AA33" s="124"/>
      <c r="AB33" s="124"/>
      <c r="AC33" s="124"/>
      <c r="AD33" s="124"/>
      <c r="AE33" s="124"/>
      <c r="AF33" s="125"/>
      <c r="AG33" s="123" t="str">
        <f>BIN2HEX(CONCATENATE(AG32,AH32,AI32,AJ32,AK32,AL32,AM32,AN32),2)</f>
        <v>00</v>
      </c>
      <c r="AH33" s="124"/>
      <c r="AI33" s="124"/>
      <c r="AJ33" s="124"/>
      <c r="AK33" s="124"/>
      <c r="AL33" s="124"/>
      <c r="AM33" s="124"/>
      <c r="AN33" s="125"/>
      <c r="AO33" s="123" t="str">
        <f>BIN2HEX(CONCATENATE(AO32,AP32,AQ32,AR32,AS32,AT32,AU32,AV32),2)</f>
        <v>00</v>
      </c>
      <c r="AP33" s="124"/>
      <c r="AQ33" s="124"/>
      <c r="AR33" s="124"/>
      <c r="AS33" s="124"/>
      <c r="AT33" s="124"/>
      <c r="AU33" s="124"/>
      <c r="AV33" s="125"/>
      <c r="AW33" s="123" t="str">
        <f>BIN2HEX(CONCATENATE(AW32,AX32,AY32,AZ32,BA32,BB32,BC32,BD32),2)</f>
        <v>00</v>
      </c>
      <c r="AX33" s="124"/>
      <c r="AY33" s="124"/>
      <c r="AZ33" s="124"/>
      <c r="BA33" s="124"/>
      <c r="BB33" s="124"/>
      <c r="BC33" s="124"/>
      <c r="BD33" s="125"/>
      <c r="BE33" s="123" t="str">
        <f>BIN2HEX(CONCATENATE(BE32,BF32,BG32,BH32,BI32,BJ32,BK32,BL32),2)</f>
        <v>00</v>
      </c>
      <c r="BF33" s="124"/>
      <c r="BG33" s="124"/>
      <c r="BH33" s="124"/>
      <c r="BI33" s="124"/>
      <c r="BJ33" s="124"/>
      <c r="BK33" s="124"/>
      <c r="BL33" s="125"/>
      <c r="BM33" s="123" t="str">
        <f>BIN2HEX(CONCATENATE(BM32,BN32,BO32,BP32,BQ32,BR32,BS32,BT32),2)</f>
        <v>00</v>
      </c>
      <c r="BN33" s="124"/>
      <c r="BO33" s="124"/>
      <c r="BP33" s="124"/>
      <c r="BQ33" s="124"/>
      <c r="BR33" s="124"/>
      <c r="BS33" s="124"/>
      <c r="BT33" s="125"/>
      <c r="BU33" s="123" t="str">
        <f>BIN2HEX(CONCATENATE(BU32,BV32,BW32,BX32,BY32,BZ32,CA32,CB32),2)</f>
        <v>00</v>
      </c>
      <c r="BV33" s="124"/>
      <c r="BW33" s="124"/>
      <c r="BX33" s="124"/>
      <c r="BY33" s="124"/>
      <c r="BZ33" s="124"/>
      <c r="CA33" s="124"/>
      <c r="CB33" s="125"/>
      <c r="CC33" s="123" t="str">
        <f>BIN2HEX(CONCATENATE(CC32,CD32,CE32,CF32,CG32,CH32,CI32,CJ32),2)</f>
        <v>00</v>
      </c>
      <c r="CD33" s="124"/>
      <c r="CE33" s="124"/>
      <c r="CF33" s="124"/>
      <c r="CG33" s="124"/>
      <c r="CH33" s="124"/>
      <c r="CI33" s="124"/>
      <c r="CJ33" s="125"/>
    </row>
    <row r="34" spans="1:88">
      <c r="A34" s="135" t="s">
        <v>13</v>
      </c>
      <c r="B34" s="32">
        <v>0</v>
      </c>
      <c r="C34" s="32">
        <v>0</v>
      </c>
      <c r="D34" s="32">
        <v>0</v>
      </c>
      <c r="E34" s="32">
        <v>0</v>
      </c>
      <c r="F34" s="32">
        <v>0</v>
      </c>
      <c r="G34" s="32">
        <v>0</v>
      </c>
      <c r="H34" s="32">
        <v>0</v>
      </c>
      <c r="I34" s="32">
        <v>0</v>
      </c>
      <c r="J34" s="32">
        <v>0</v>
      </c>
      <c r="K34" s="32">
        <v>0</v>
      </c>
      <c r="L34" s="32">
        <v>0</v>
      </c>
      <c r="M34" s="32">
        <v>0</v>
      </c>
      <c r="N34" s="32">
        <v>0</v>
      </c>
      <c r="O34" s="32">
        <v>0</v>
      </c>
      <c r="P34" s="32">
        <v>0</v>
      </c>
      <c r="Q34" s="32">
        <v>0</v>
      </c>
      <c r="R34" s="32">
        <v>0</v>
      </c>
      <c r="S34" s="32">
        <v>0</v>
      </c>
      <c r="T34" s="32">
        <v>0</v>
      </c>
      <c r="U34" s="32">
        <v>0</v>
      </c>
      <c r="V34" s="32">
        <v>0</v>
      </c>
      <c r="W34" s="32">
        <v>0</v>
      </c>
      <c r="X34" s="32">
        <v>0</v>
      </c>
      <c r="Y34" s="32">
        <v>0</v>
      </c>
      <c r="Z34" s="32">
        <v>0</v>
      </c>
      <c r="AA34" s="32">
        <v>0</v>
      </c>
      <c r="AB34" s="32">
        <v>0</v>
      </c>
      <c r="AC34" s="32">
        <v>0</v>
      </c>
      <c r="AD34" s="32">
        <v>0</v>
      </c>
      <c r="AE34" s="32">
        <v>0</v>
      </c>
      <c r="AF34" s="32">
        <v>0</v>
      </c>
      <c r="AG34" s="32">
        <v>0</v>
      </c>
      <c r="AH34" s="32">
        <v>0</v>
      </c>
      <c r="AI34" s="32">
        <v>0</v>
      </c>
      <c r="AJ34" s="32">
        <v>0</v>
      </c>
      <c r="AK34" s="32">
        <v>0</v>
      </c>
      <c r="AL34" s="32">
        <v>0</v>
      </c>
      <c r="AM34" s="32">
        <v>0</v>
      </c>
      <c r="AN34" s="32">
        <v>0</v>
      </c>
      <c r="AO34" s="32">
        <v>0</v>
      </c>
      <c r="AP34" s="32">
        <v>0</v>
      </c>
      <c r="AQ34" s="32">
        <v>0</v>
      </c>
      <c r="AR34" s="32">
        <v>0</v>
      </c>
      <c r="AS34" s="32">
        <v>0</v>
      </c>
      <c r="AT34" s="32">
        <v>0</v>
      </c>
      <c r="AU34" s="32">
        <v>0</v>
      </c>
      <c r="AV34" s="32">
        <v>0</v>
      </c>
      <c r="AW34" s="32">
        <v>0</v>
      </c>
      <c r="AX34" s="32">
        <v>0</v>
      </c>
      <c r="AY34" s="32">
        <v>0</v>
      </c>
      <c r="AZ34" s="32">
        <v>0</v>
      </c>
      <c r="BA34" s="32">
        <v>0</v>
      </c>
      <c r="BB34" s="32">
        <v>0</v>
      </c>
      <c r="BC34" s="32">
        <v>0</v>
      </c>
      <c r="BD34" s="32">
        <v>0</v>
      </c>
      <c r="BE34" s="32">
        <v>0</v>
      </c>
      <c r="BF34" s="32">
        <v>0</v>
      </c>
      <c r="BG34" s="32">
        <v>0</v>
      </c>
      <c r="BH34" s="32">
        <v>0</v>
      </c>
      <c r="BI34" s="32">
        <v>0</v>
      </c>
      <c r="BJ34" s="32">
        <v>0</v>
      </c>
      <c r="BK34" s="32">
        <v>0</v>
      </c>
      <c r="BL34" s="32">
        <v>0</v>
      </c>
      <c r="BM34" s="32">
        <v>0</v>
      </c>
      <c r="BN34" s="32">
        <v>0</v>
      </c>
      <c r="BO34" s="32">
        <v>0</v>
      </c>
      <c r="BP34" s="32">
        <v>0</v>
      </c>
      <c r="BQ34" s="32">
        <v>0</v>
      </c>
      <c r="BR34" s="32">
        <v>0</v>
      </c>
      <c r="BS34" s="32">
        <v>0</v>
      </c>
      <c r="BT34" s="32">
        <v>0</v>
      </c>
      <c r="BU34" s="32">
        <v>0</v>
      </c>
      <c r="BV34" s="32">
        <v>0</v>
      </c>
      <c r="BW34" s="32">
        <v>0</v>
      </c>
      <c r="BX34" s="32">
        <v>0</v>
      </c>
      <c r="BY34" s="32">
        <v>0</v>
      </c>
      <c r="BZ34" s="32">
        <v>0</v>
      </c>
      <c r="CA34" s="32">
        <v>0</v>
      </c>
      <c r="CB34" s="32">
        <v>0</v>
      </c>
      <c r="CC34" s="32">
        <v>0</v>
      </c>
      <c r="CD34" s="32">
        <v>0</v>
      </c>
      <c r="CE34" s="32">
        <v>0</v>
      </c>
      <c r="CF34" s="32">
        <v>0</v>
      </c>
      <c r="CG34" s="32">
        <v>0</v>
      </c>
      <c r="CH34" s="32">
        <v>0</v>
      </c>
      <c r="CI34" s="32">
        <v>0</v>
      </c>
      <c r="CJ34" s="32">
        <v>0</v>
      </c>
    </row>
    <row r="35" spans="1:88" hidden="1">
      <c r="A35" s="136"/>
      <c r="B35" s="39" t="str">
        <f ca="1">DEC2HEX(B34,INDIRECT("'parameters recipe'!$C"&amp;B$27))</f>
        <v>0</v>
      </c>
      <c r="C35" s="39" t="e">
        <f t="shared" ref="C35:L35" ca="1" si="17">DEC2HEX(C34,INDIRECT("'parameters recipe'!$C"&amp;C$27))</f>
        <v>#NUM!</v>
      </c>
      <c r="D35" s="39" t="str">
        <f t="shared" ca="1" si="17"/>
        <v>0</v>
      </c>
      <c r="E35" s="39" t="e">
        <f t="shared" ca="1" si="17"/>
        <v>#NUM!</v>
      </c>
      <c r="F35" s="39" t="str">
        <f t="shared" ca="1" si="17"/>
        <v>0</v>
      </c>
      <c r="G35" s="39" t="e">
        <f t="shared" ca="1" si="17"/>
        <v>#NUM!</v>
      </c>
      <c r="H35" s="39" t="str">
        <f t="shared" ca="1" si="17"/>
        <v>0</v>
      </c>
      <c r="I35" s="39" t="e">
        <f t="shared" ca="1" si="17"/>
        <v>#NUM!</v>
      </c>
      <c r="J35" s="39" t="str">
        <f t="shared" ca="1" si="17"/>
        <v>0</v>
      </c>
      <c r="K35" s="39" t="e">
        <f t="shared" ca="1" si="17"/>
        <v>#NUM!</v>
      </c>
      <c r="L35" s="39" t="str">
        <f t="shared" ca="1" si="17"/>
        <v>0</v>
      </c>
      <c r="M35" s="123" t="str">
        <f>BIN2HEX(CONCATENATE(M34,N34,O34,P34,Q34,R34,S34,T34),2)</f>
        <v>00</v>
      </c>
      <c r="N35" s="124"/>
      <c r="O35" s="124"/>
      <c r="P35" s="124"/>
      <c r="Q35" s="124"/>
      <c r="R35" s="124"/>
      <c r="S35" s="124"/>
      <c r="T35" s="125"/>
      <c r="U35" s="39" t="e">
        <f t="shared" ref="U35:X35" ca="1" si="18">DEC2HEX(U34,INDIRECT("'parameters recipe'!$C"&amp;U$27))</f>
        <v>#NUM!</v>
      </c>
      <c r="V35" s="39" t="e">
        <f t="shared" ca="1" si="18"/>
        <v>#NUM!</v>
      </c>
      <c r="W35" s="39" t="e">
        <f t="shared" ca="1" si="18"/>
        <v>#NUM!</v>
      </c>
      <c r="X35" s="39" t="e">
        <f t="shared" ca="1" si="18"/>
        <v>#NUM!</v>
      </c>
      <c r="Y35" s="123" t="str">
        <f>BIN2HEX(CONCATENATE(Y34,Z34,AA34,AB34,AC34,AD34,AE34,AF34),2)</f>
        <v>00</v>
      </c>
      <c r="Z35" s="124"/>
      <c r="AA35" s="124"/>
      <c r="AB35" s="124"/>
      <c r="AC35" s="124"/>
      <c r="AD35" s="124"/>
      <c r="AE35" s="124"/>
      <c r="AF35" s="125"/>
      <c r="AG35" s="123" t="str">
        <f>BIN2HEX(CONCATENATE(AG34,AH34,AI34,AJ34,AK34,AL34,AM34,AN34),2)</f>
        <v>00</v>
      </c>
      <c r="AH35" s="124"/>
      <c r="AI35" s="124"/>
      <c r="AJ35" s="124"/>
      <c r="AK35" s="124"/>
      <c r="AL35" s="124"/>
      <c r="AM35" s="124"/>
      <c r="AN35" s="125"/>
      <c r="AO35" s="123" t="str">
        <f>BIN2HEX(CONCATENATE(AO34,AP34,AQ34,AR34,AS34,AT34,AU34,AV34),2)</f>
        <v>00</v>
      </c>
      <c r="AP35" s="124"/>
      <c r="AQ35" s="124"/>
      <c r="AR35" s="124"/>
      <c r="AS35" s="124"/>
      <c r="AT35" s="124"/>
      <c r="AU35" s="124"/>
      <c r="AV35" s="125"/>
      <c r="AW35" s="123" t="str">
        <f>BIN2HEX(CONCATENATE(AW34,AX34,AY34,AZ34,BA34,BB34,BC34,BD34),2)</f>
        <v>00</v>
      </c>
      <c r="AX35" s="124"/>
      <c r="AY35" s="124"/>
      <c r="AZ35" s="124"/>
      <c r="BA35" s="124"/>
      <c r="BB35" s="124"/>
      <c r="BC35" s="124"/>
      <c r="BD35" s="125"/>
      <c r="BE35" s="123" t="str">
        <f>BIN2HEX(CONCATENATE(BE34,BF34,BG34,BH34,BI34,BJ34,BK34,BL34),2)</f>
        <v>00</v>
      </c>
      <c r="BF35" s="124"/>
      <c r="BG35" s="124"/>
      <c r="BH35" s="124"/>
      <c r="BI35" s="124"/>
      <c r="BJ35" s="124"/>
      <c r="BK35" s="124"/>
      <c r="BL35" s="125"/>
      <c r="BM35" s="123" t="str">
        <f>BIN2HEX(CONCATENATE(BM34,BN34,BO34,BP34,BQ34,BR34,BS34,BT34),2)</f>
        <v>00</v>
      </c>
      <c r="BN35" s="124"/>
      <c r="BO35" s="124"/>
      <c r="BP35" s="124"/>
      <c r="BQ35" s="124"/>
      <c r="BR35" s="124"/>
      <c r="BS35" s="124"/>
      <c r="BT35" s="125"/>
      <c r="BU35" s="123" t="str">
        <f>BIN2HEX(CONCATENATE(BU34,BV34,BW34,BX34,BY34,BZ34,CA34,CB34),2)</f>
        <v>00</v>
      </c>
      <c r="BV35" s="124"/>
      <c r="BW35" s="124"/>
      <c r="BX35" s="124"/>
      <c r="BY35" s="124"/>
      <c r="BZ35" s="124"/>
      <c r="CA35" s="124"/>
      <c r="CB35" s="125"/>
      <c r="CC35" s="123" t="str">
        <f>BIN2HEX(CONCATENATE(CC34,CD34,CE34,CF34,CG34,CH34,CI34,CJ34),2)</f>
        <v>00</v>
      </c>
      <c r="CD35" s="124"/>
      <c r="CE35" s="124"/>
      <c r="CF35" s="124"/>
      <c r="CG35" s="124"/>
      <c r="CH35" s="124"/>
      <c r="CI35" s="124"/>
      <c r="CJ35" s="125"/>
    </row>
    <row r="36" spans="1:88">
      <c r="A36" s="135" t="s">
        <v>14</v>
      </c>
      <c r="B36" s="32">
        <v>0</v>
      </c>
      <c r="C36" s="32">
        <v>0</v>
      </c>
      <c r="D36" s="32">
        <v>0</v>
      </c>
      <c r="E36" s="32">
        <v>0</v>
      </c>
      <c r="F36" s="32">
        <v>0</v>
      </c>
      <c r="G36" s="32">
        <v>0</v>
      </c>
      <c r="H36" s="32">
        <v>0</v>
      </c>
      <c r="I36" s="32">
        <v>0</v>
      </c>
      <c r="J36" s="32">
        <v>0</v>
      </c>
      <c r="K36" s="32">
        <v>0</v>
      </c>
      <c r="L36" s="32">
        <v>0</v>
      </c>
      <c r="M36" s="32">
        <v>0</v>
      </c>
      <c r="N36" s="32">
        <v>0</v>
      </c>
      <c r="O36" s="32">
        <v>0</v>
      </c>
      <c r="P36" s="32">
        <v>0</v>
      </c>
      <c r="Q36" s="32">
        <v>0</v>
      </c>
      <c r="R36" s="32">
        <v>0</v>
      </c>
      <c r="S36" s="32">
        <v>0</v>
      </c>
      <c r="T36" s="32">
        <v>0</v>
      </c>
      <c r="U36" s="32">
        <v>0</v>
      </c>
      <c r="V36" s="32">
        <v>0</v>
      </c>
      <c r="W36" s="32">
        <v>0</v>
      </c>
      <c r="X36" s="32">
        <v>0</v>
      </c>
      <c r="Y36" s="32">
        <v>0</v>
      </c>
      <c r="Z36" s="32">
        <v>0</v>
      </c>
      <c r="AA36" s="32">
        <v>0</v>
      </c>
      <c r="AB36" s="32">
        <v>0</v>
      </c>
      <c r="AC36" s="32">
        <v>0</v>
      </c>
      <c r="AD36" s="32">
        <v>0</v>
      </c>
      <c r="AE36" s="32">
        <v>0</v>
      </c>
      <c r="AF36" s="32">
        <v>0</v>
      </c>
      <c r="AG36" s="32">
        <v>0</v>
      </c>
      <c r="AH36" s="32">
        <v>0</v>
      </c>
      <c r="AI36" s="32">
        <v>0</v>
      </c>
      <c r="AJ36" s="32">
        <v>0</v>
      </c>
      <c r="AK36" s="32">
        <v>0</v>
      </c>
      <c r="AL36" s="32">
        <v>0</v>
      </c>
      <c r="AM36" s="32">
        <v>0</v>
      </c>
      <c r="AN36" s="32">
        <v>0</v>
      </c>
      <c r="AO36" s="32">
        <v>0</v>
      </c>
      <c r="AP36" s="32">
        <v>0</v>
      </c>
      <c r="AQ36" s="32">
        <v>0</v>
      </c>
      <c r="AR36" s="32">
        <v>0</v>
      </c>
      <c r="AS36" s="32">
        <v>0</v>
      </c>
      <c r="AT36" s="32">
        <v>0</v>
      </c>
      <c r="AU36" s="32">
        <v>0</v>
      </c>
      <c r="AV36" s="32">
        <v>0</v>
      </c>
      <c r="AW36" s="32">
        <v>0</v>
      </c>
      <c r="AX36" s="32">
        <v>0</v>
      </c>
      <c r="AY36" s="32">
        <v>0</v>
      </c>
      <c r="AZ36" s="32">
        <v>0</v>
      </c>
      <c r="BA36" s="32">
        <v>0</v>
      </c>
      <c r="BB36" s="32">
        <v>0</v>
      </c>
      <c r="BC36" s="32">
        <v>0</v>
      </c>
      <c r="BD36" s="32">
        <v>0</v>
      </c>
      <c r="BE36" s="32">
        <v>0</v>
      </c>
      <c r="BF36" s="32">
        <v>0</v>
      </c>
      <c r="BG36" s="32">
        <v>0</v>
      </c>
      <c r="BH36" s="32">
        <v>0</v>
      </c>
      <c r="BI36" s="32">
        <v>0</v>
      </c>
      <c r="BJ36" s="32">
        <v>0</v>
      </c>
      <c r="BK36" s="32">
        <v>0</v>
      </c>
      <c r="BL36" s="32">
        <v>0</v>
      </c>
      <c r="BM36" s="32">
        <v>0</v>
      </c>
      <c r="BN36" s="32">
        <v>0</v>
      </c>
      <c r="BO36" s="32">
        <v>0</v>
      </c>
      <c r="BP36" s="32">
        <v>0</v>
      </c>
      <c r="BQ36" s="32">
        <v>0</v>
      </c>
      <c r="BR36" s="32">
        <v>0</v>
      </c>
      <c r="BS36" s="32">
        <v>0</v>
      </c>
      <c r="BT36" s="32">
        <v>0</v>
      </c>
      <c r="BU36" s="32">
        <v>0</v>
      </c>
      <c r="BV36" s="32">
        <v>0</v>
      </c>
      <c r="BW36" s="32">
        <v>0</v>
      </c>
      <c r="BX36" s="32">
        <v>0</v>
      </c>
      <c r="BY36" s="32">
        <v>0</v>
      </c>
      <c r="BZ36" s="32">
        <v>0</v>
      </c>
      <c r="CA36" s="32">
        <v>0</v>
      </c>
      <c r="CB36" s="32">
        <v>0</v>
      </c>
      <c r="CC36" s="32">
        <v>0</v>
      </c>
      <c r="CD36" s="32">
        <v>0</v>
      </c>
      <c r="CE36" s="32">
        <v>0</v>
      </c>
      <c r="CF36" s="32">
        <v>0</v>
      </c>
      <c r="CG36" s="32">
        <v>0</v>
      </c>
      <c r="CH36" s="32">
        <v>0</v>
      </c>
      <c r="CI36" s="32">
        <v>0</v>
      </c>
      <c r="CJ36" s="32">
        <v>0</v>
      </c>
    </row>
    <row r="37" spans="1:88" hidden="1">
      <c r="A37" s="136"/>
      <c r="B37" s="39" t="str">
        <f ca="1">DEC2HEX(B36,INDIRECT("'parameters recipe'!$C"&amp;B$27))</f>
        <v>0</v>
      </c>
      <c r="C37" s="39" t="e">
        <f t="shared" ref="C37:L37" ca="1" si="19">DEC2HEX(C36,INDIRECT("'parameters recipe'!$C"&amp;C$27))</f>
        <v>#NUM!</v>
      </c>
      <c r="D37" s="39" t="str">
        <f t="shared" ca="1" si="19"/>
        <v>0</v>
      </c>
      <c r="E37" s="39" t="e">
        <f t="shared" ca="1" si="19"/>
        <v>#NUM!</v>
      </c>
      <c r="F37" s="39" t="str">
        <f t="shared" ca="1" si="19"/>
        <v>0</v>
      </c>
      <c r="G37" s="39" t="e">
        <f t="shared" ca="1" si="19"/>
        <v>#NUM!</v>
      </c>
      <c r="H37" s="39" t="str">
        <f t="shared" ca="1" si="19"/>
        <v>0</v>
      </c>
      <c r="I37" s="39" t="e">
        <f t="shared" ca="1" si="19"/>
        <v>#NUM!</v>
      </c>
      <c r="J37" s="39" t="str">
        <f t="shared" ca="1" si="19"/>
        <v>0</v>
      </c>
      <c r="K37" s="39" t="e">
        <f t="shared" ca="1" si="19"/>
        <v>#NUM!</v>
      </c>
      <c r="L37" s="39" t="str">
        <f t="shared" ca="1" si="19"/>
        <v>0</v>
      </c>
      <c r="M37" s="123" t="str">
        <f>BIN2HEX(CONCATENATE(M36,N36,O36,P36,Q36,R36,S36,T36),2)</f>
        <v>00</v>
      </c>
      <c r="N37" s="124"/>
      <c r="O37" s="124"/>
      <c r="P37" s="124"/>
      <c r="Q37" s="124"/>
      <c r="R37" s="124"/>
      <c r="S37" s="124"/>
      <c r="T37" s="125"/>
      <c r="U37" s="39" t="e">
        <f t="shared" ref="U37:X37" ca="1" si="20">DEC2HEX(U36,INDIRECT("'parameters recipe'!$C"&amp;U$27))</f>
        <v>#NUM!</v>
      </c>
      <c r="V37" s="39" t="e">
        <f t="shared" ca="1" si="20"/>
        <v>#NUM!</v>
      </c>
      <c r="W37" s="39" t="e">
        <f t="shared" ca="1" si="20"/>
        <v>#NUM!</v>
      </c>
      <c r="X37" s="39" t="e">
        <f t="shared" ca="1" si="20"/>
        <v>#NUM!</v>
      </c>
      <c r="Y37" s="123" t="str">
        <f>BIN2HEX(CONCATENATE(Y36,Z36,AA36,AB36,AC36,AD36,AE36,AF36),2)</f>
        <v>00</v>
      </c>
      <c r="Z37" s="124"/>
      <c r="AA37" s="124"/>
      <c r="AB37" s="124"/>
      <c r="AC37" s="124"/>
      <c r="AD37" s="124"/>
      <c r="AE37" s="124"/>
      <c r="AF37" s="125"/>
      <c r="AG37" s="123" t="str">
        <f>BIN2HEX(CONCATENATE(AG36,AH36,AI36,AJ36,AK36,AL36,AM36,AN36),2)</f>
        <v>00</v>
      </c>
      <c r="AH37" s="124"/>
      <c r="AI37" s="124"/>
      <c r="AJ37" s="124"/>
      <c r="AK37" s="124"/>
      <c r="AL37" s="124"/>
      <c r="AM37" s="124"/>
      <c r="AN37" s="125"/>
      <c r="AO37" s="123" t="str">
        <f>BIN2HEX(CONCATENATE(AO36,AP36,AQ36,AR36,AS36,AT36,AU36,AV36),2)</f>
        <v>00</v>
      </c>
      <c r="AP37" s="124"/>
      <c r="AQ37" s="124"/>
      <c r="AR37" s="124"/>
      <c r="AS37" s="124"/>
      <c r="AT37" s="124"/>
      <c r="AU37" s="124"/>
      <c r="AV37" s="125"/>
      <c r="AW37" s="123" t="str">
        <f>BIN2HEX(CONCATENATE(AW36,AX36,AY36,AZ36,BA36,BB36,BC36,BD36),2)</f>
        <v>00</v>
      </c>
      <c r="AX37" s="124"/>
      <c r="AY37" s="124"/>
      <c r="AZ37" s="124"/>
      <c r="BA37" s="124"/>
      <c r="BB37" s="124"/>
      <c r="BC37" s="124"/>
      <c r="BD37" s="125"/>
      <c r="BE37" s="123" t="str">
        <f>BIN2HEX(CONCATENATE(BE36,BF36,BG36,BH36,BI36,BJ36,BK36,BL36),2)</f>
        <v>00</v>
      </c>
      <c r="BF37" s="124"/>
      <c r="BG37" s="124"/>
      <c r="BH37" s="124"/>
      <c r="BI37" s="124"/>
      <c r="BJ37" s="124"/>
      <c r="BK37" s="124"/>
      <c r="BL37" s="125"/>
      <c r="BM37" s="123" t="str">
        <f>BIN2HEX(CONCATENATE(BM36,BN36,BO36,BP36,BQ36,BR36,BS36,BT36),2)</f>
        <v>00</v>
      </c>
      <c r="BN37" s="124"/>
      <c r="BO37" s="124"/>
      <c r="BP37" s="124"/>
      <c r="BQ37" s="124"/>
      <c r="BR37" s="124"/>
      <c r="BS37" s="124"/>
      <c r="BT37" s="125"/>
      <c r="BU37" s="123" t="str">
        <f>BIN2HEX(CONCATENATE(BU36,BV36,BW36,BX36,BY36,BZ36,CA36,CB36),2)</f>
        <v>00</v>
      </c>
      <c r="BV37" s="124"/>
      <c r="BW37" s="124"/>
      <c r="BX37" s="124"/>
      <c r="BY37" s="124"/>
      <c r="BZ37" s="124"/>
      <c r="CA37" s="124"/>
      <c r="CB37" s="125"/>
      <c r="CC37" s="123" t="str">
        <f>BIN2HEX(CONCATENATE(CC36,CD36,CE36,CF36,CG36,CH36,CI36,CJ36),2)</f>
        <v>00</v>
      </c>
      <c r="CD37" s="124"/>
      <c r="CE37" s="124"/>
      <c r="CF37" s="124"/>
      <c r="CG37" s="124"/>
      <c r="CH37" s="124"/>
      <c r="CI37" s="124"/>
      <c r="CJ37" s="125"/>
    </row>
    <row r="38" spans="1:88">
      <c r="A38" s="135" t="s">
        <v>15</v>
      </c>
      <c r="B38" s="32">
        <v>0</v>
      </c>
      <c r="C38" s="32">
        <v>0</v>
      </c>
      <c r="D38" s="32">
        <v>0</v>
      </c>
      <c r="E38" s="32">
        <v>0</v>
      </c>
      <c r="F38" s="32">
        <v>0</v>
      </c>
      <c r="G38" s="32">
        <v>0</v>
      </c>
      <c r="H38" s="32">
        <v>0</v>
      </c>
      <c r="I38" s="32">
        <v>0</v>
      </c>
      <c r="J38" s="32">
        <v>0</v>
      </c>
      <c r="K38" s="32">
        <v>0</v>
      </c>
      <c r="L38" s="32">
        <v>0</v>
      </c>
      <c r="M38" s="32">
        <v>0</v>
      </c>
      <c r="N38" s="32">
        <v>0</v>
      </c>
      <c r="O38" s="32">
        <v>0</v>
      </c>
      <c r="P38" s="32">
        <v>0</v>
      </c>
      <c r="Q38" s="32">
        <v>0</v>
      </c>
      <c r="R38" s="32">
        <v>0</v>
      </c>
      <c r="S38" s="32">
        <v>0</v>
      </c>
      <c r="T38" s="32">
        <v>0</v>
      </c>
      <c r="U38" s="32">
        <v>0</v>
      </c>
      <c r="V38" s="32">
        <v>0</v>
      </c>
      <c r="W38" s="32">
        <v>0</v>
      </c>
      <c r="X38" s="32">
        <v>0</v>
      </c>
      <c r="Y38" s="32">
        <v>0</v>
      </c>
      <c r="Z38" s="32">
        <v>0</v>
      </c>
      <c r="AA38" s="32">
        <v>0</v>
      </c>
      <c r="AB38" s="32">
        <v>0</v>
      </c>
      <c r="AC38" s="32">
        <v>0</v>
      </c>
      <c r="AD38" s="32">
        <v>0</v>
      </c>
      <c r="AE38" s="32">
        <v>0</v>
      </c>
      <c r="AF38" s="32">
        <v>0</v>
      </c>
      <c r="AG38" s="32">
        <v>0</v>
      </c>
      <c r="AH38" s="32">
        <v>0</v>
      </c>
      <c r="AI38" s="32">
        <v>0</v>
      </c>
      <c r="AJ38" s="32">
        <v>0</v>
      </c>
      <c r="AK38" s="32">
        <v>0</v>
      </c>
      <c r="AL38" s="32">
        <v>0</v>
      </c>
      <c r="AM38" s="32">
        <v>0</v>
      </c>
      <c r="AN38" s="32">
        <v>0</v>
      </c>
      <c r="AO38" s="32">
        <v>0</v>
      </c>
      <c r="AP38" s="32">
        <v>0</v>
      </c>
      <c r="AQ38" s="32">
        <v>0</v>
      </c>
      <c r="AR38" s="32">
        <v>0</v>
      </c>
      <c r="AS38" s="32">
        <v>0</v>
      </c>
      <c r="AT38" s="32">
        <v>0</v>
      </c>
      <c r="AU38" s="32">
        <v>0</v>
      </c>
      <c r="AV38" s="32">
        <v>0</v>
      </c>
      <c r="AW38" s="32">
        <v>0</v>
      </c>
      <c r="AX38" s="32">
        <v>0</v>
      </c>
      <c r="AY38" s="32">
        <v>0</v>
      </c>
      <c r="AZ38" s="32">
        <v>0</v>
      </c>
      <c r="BA38" s="32">
        <v>0</v>
      </c>
      <c r="BB38" s="32">
        <v>0</v>
      </c>
      <c r="BC38" s="32">
        <v>0</v>
      </c>
      <c r="BD38" s="32">
        <v>0</v>
      </c>
      <c r="BE38" s="32">
        <v>0</v>
      </c>
      <c r="BF38" s="32">
        <v>0</v>
      </c>
      <c r="BG38" s="32">
        <v>0</v>
      </c>
      <c r="BH38" s="32">
        <v>0</v>
      </c>
      <c r="BI38" s="32">
        <v>0</v>
      </c>
      <c r="BJ38" s="32">
        <v>0</v>
      </c>
      <c r="BK38" s="32">
        <v>0</v>
      </c>
      <c r="BL38" s="32">
        <v>0</v>
      </c>
      <c r="BM38" s="32">
        <v>0</v>
      </c>
      <c r="BN38" s="32">
        <v>0</v>
      </c>
      <c r="BO38" s="32">
        <v>0</v>
      </c>
      <c r="BP38" s="32">
        <v>0</v>
      </c>
      <c r="BQ38" s="32">
        <v>0</v>
      </c>
      <c r="BR38" s="32">
        <v>0</v>
      </c>
      <c r="BS38" s="32">
        <v>0</v>
      </c>
      <c r="BT38" s="32">
        <v>0</v>
      </c>
      <c r="BU38" s="32">
        <v>0</v>
      </c>
      <c r="BV38" s="32">
        <v>0</v>
      </c>
      <c r="BW38" s="32">
        <v>0</v>
      </c>
      <c r="BX38" s="32">
        <v>0</v>
      </c>
      <c r="BY38" s="32">
        <v>0</v>
      </c>
      <c r="BZ38" s="32">
        <v>0</v>
      </c>
      <c r="CA38" s="32">
        <v>0</v>
      </c>
      <c r="CB38" s="32">
        <v>0</v>
      </c>
      <c r="CC38" s="32">
        <v>0</v>
      </c>
      <c r="CD38" s="32">
        <v>0</v>
      </c>
      <c r="CE38" s="32">
        <v>0</v>
      </c>
      <c r="CF38" s="32">
        <v>0</v>
      </c>
      <c r="CG38" s="32">
        <v>0</v>
      </c>
      <c r="CH38" s="32">
        <v>0</v>
      </c>
      <c r="CI38" s="32">
        <v>0</v>
      </c>
      <c r="CJ38" s="32">
        <v>0</v>
      </c>
    </row>
    <row r="39" spans="1:88" hidden="1">
      <c r="A39" s="136"/>
      <c r="B39" s="39" t="str">
        <f ca="1">DEC2HEX(B38,INDIRECT("'parameters recipe'!$C"&amp;B$27))</f>
        <v>0</v>
      </c>
      <c r="C39" s="39" t="e">
        <f t="shared" ref="C39:L39" ca="1" si="21">DEC2HEX(C38,INDIRECT("'parameters recipe'!$C"&amp;C$27))</f>
        <v>#NUM!</v>
      </c>
      <c r="D39" s="39" t="str">
        <f t="shared" ca="1" si="21"/>
        <v>0</v>
      </c>
      <c r="E39" s="39" t="e">
        <f t="shared" ca="1" si="21"/>
        <v>#NUM!</v>
      </c>
      <c r="F39" s="39" t="str">
        <f t="shared" ca="1" si="21"/>
        <v>0</v>
      </c>
      <c r="G39" s="39" t="e">
        <f t="shared" ca="1" si="21"/>
        <v>#NUM!</v>
      </c>
      <c r="H39" s="39" t="str">
        <f t="shared" ca="1" si="21"/>
        <v>0</v>
      </c>
      <c r="I39" s="39" t="e">
        <f t="shared" ca="1" si="21"/>
        <v>#NUM!</v>
      </c>
      <c r="J39" s="39" t="str">
        <f t="shared" ca="1" si="21"/>
        <v>0</v>
      </c>
      <c r="K39" s="39" t="e">
        <f t="shared" ca="1" si="21"/>
        <v>#NUM!</v>
      </c>
      <c r="L39" s="39" t="str">
        <f t="shared" ca="1" si="21"/>
        <v>0</v>
      </c>
      <c r="M39" s="123" t="str">
        <f>BIN2HEX(CONCATENATE(M38,N38,O38,P38,Q38,R38,S38,T38),2)</f>
        <v>00</v>
      </c>
      <c r="N39" s="124"/>
      <c r="O39" s="124"/>
      <c r="P39" s="124"/>
      <c r="Q39" s="124"/>
      <c r="R39" s="124"/>
      <c r="S39" s="124"/>
      <c r="T39" s="125"/>
      <c r="U39" s="39" t="e">
        <f t="shared" ref="U39:X39" ca="1" si="22">DEC2HEX(U38,INDIRECT("'parameters recipe'!$C"&amp;U$27))</f>
        <v>#NUM!</v>
      </c>
      <c r="V39" s="39" t="e">
        <f t="shared" ca="1" si="22"/>
        <v>#NUM!</v>
      </c>
      <c r="W39" s="39" t="e">
        <f t="shared" ca="1" si="22"/>
        <v>#NUM!</v>
      </c>
      <c r="X39" s="39" t="e">
        <f t="shared" ca="1" si="22"/>
        <v>#NUM!</v>
      </c>
      <c r="Y39" s="123" t="str">
        <f>BIN2HEX(CONCATENATE(Y38,Z38,AA38,AB38,AC38,AD38,AE38,AF38),2)</f>
        <v>00</v>
      </c>
      <c r="Z39" s="124"/>
      <c r="AA39" s="124"/>
      <c r="AB39" s="124"/>
      <c r="AC39" s="124"/>
      <c r="AD39" s="124"/>
      <c r="AE39" s="124"/>
      <c r="AF39" s="125"/>
      <c r="AG39" s="123" t="str">
        <f>BIN2HEX(CONCATENATE(AG38,AH38,AI38,AJ38,AK38,AL38,AM38,AN38),2)</f>
        <v>00</v>
      </c>
      <c r="AH39" s="124"/>
      <c r="AI39" s="124"/>
      <c r="AJ39" s="124"/>
      <c r="AK39" s="124"/>
      <c r="AL39" s="124"/>
      <c r="AM39" s="124"/>
      <c r="AN39" s="125"/>
      <c r="AO39" s="123" t="str">
        <f>BIN2HEX(CONCATENATE(AO38,AP38,AQ38,AR38,AS38,AT38,AU38,AV38),2)</f>
        <v>00</v>
      </c>
      <c r="AP39" s="124"/>
      <c r="AQ39" s="124"/>
      <c r="AR39" s="124"/>
      <c r="AS39" s="124"/>
      <c r="AT39" s="124"/>
      <c r="AU39" s="124"/>
      <c r="AV39" s="125"/>
      <c r="AW39" s="123" t="str">
        <f>BIN2HEX(CONCATENATE(AW38,AX38,AY38,AZ38,BA38,BB38,BC38,BD38),2)</f>
        <v>00</v>
      </c>
      <c r="AX39" s="124"/>
      <c r="AY39" s="124"/>
      <c r="AZ39" s="124"/>
      <c r="BA39" s="124"/>
      <c r="BB39" s="124"/>
      <c r="BC39" s="124"/>
      <c r="BD39" s="125"/>
      <c r="BE39" s="123" t="str">
        <f>BIN2HEX(CONCATENATE(BE38,BF38,BG38,BH38,BI38,BJ38,BK38,BL38),2)</f>
        <v>00</v>
      </c>
      <c r="BF39" s="124"/>
      <c r="BG39" s="124"/>
      <c r="BH39" s="124"/>
      <c r="BI39" s="124"/>
      <c r="BJ39" s="124"/>
      <c r="BK39" s="124"/>
      <c r="BL39" s="125"/>
      <c r="BM39" s="123" t="str">
        <f>BIN2HEX(CONCATENATE(BM38,BN38,BO38,BP38,BQ38,BR38,BS38,BT38),2)</f>
        <v>00</v>
      </c>
      <c r="BN39" s="124"/>
      <c r="BO39" s="124"/>
      <c r="BP39" s="124"/>
      <c r="BQ39" s="124"/>
      <c r="BR39" s="124"/>
      <c r="BS39" s="124"/>
      <c r="BT39" s="125"/>
      <c r="BU39" s="123" t="str">
        <f>BIN2HEX(CONCATENATE(BU38,BV38,BW38,BX38,BY38,BZ38,CA38,CB38),2)</f>
        <v>00</v>
      </c>
      <c r="BV39" s="124"/>
      <c r="BW39" s="124"/>
      <c r="BX39" s="124"/>
      <c r="BY39" s="124"/>
      <c r="BZ39" s="124"/>
      <c r="CA39" s="124"/>
      <c r="CB39" s="125"/>
      <c r="CC39" s="123" t="str">
        <f>BIN2HEX(CONCATENATE(CC38,CD38,CE38,CF38,CG38,CH38,CI38,CJ38),2)</f>
        <v>00</v>
      </c>
      <c r="CD39" s="124"/>
      <c r="CE39" s="124"/>
      <c r="CF39" s="124"/>
      <c r="CG39" s="124"/>
      <c r="CH39" s="124"/>
      <c r="CI39" s="124"/>
      <c r="CJ39" s="125"/>
    </row>
    <row r="40" spans="1:88">
      <c r="A40" s="135" t="s">
        <v>16</v>
      </c>
      <c r="B40" s="32">
        <v>0</v>
      </c>
      <c r="C40" s="32">
        <v>0</v>
      </c>
      <c r="D40" s="32">
        <v>0</v>
      </c>
      <c r="E40" s="32">
        <v>0</v>
      </c>
      <c r="F40" s="32">
        <v>0</v>
      </c>
      <c r="G40" s="32">
        <v>0</v>
      </c>
      <c r="H40" s="32">
        <v>0</v>
      </c>
      <c r="I40" s="32">
        <v>0</v>
      </c>
      <c r="J40" s="32">
        <v>0</v>
      </c>
      <c r="K40" s="32">
        <v>0</v>
      </c>
      <c r="L40" s="32">
        <v>0</v>
      </c>
      <c r="M40" s="32">
        <v>0</v>
      </c>
      <c r="N40" s="32">
        <v>0</v>
      </c>
      <c r="O40" s="32">
        <v>0</v>
      </c>
      <c r="P40" s="32">
        <v>0</v>
      </c>
      <c r="Q40" s="32">
        <v>0</v>
      </c>
      <c r="R40" s="32">
        <v>0</v>
      </c>
      <c r="S40" s="32">
        <v>0</v>
      </c>
      <c r="T40" s="32">
        <v>0</v>
      </c>
      <c r="U40" s="32">
        <v>0</v>
      </c>
      <c r="V40" s="32">
        <v>0</v>
      </c>
      <c r="W40" s="32">
        <v>0</v>
      </c>
      <c r="X40" s="32">
        <v>0</v>
      </c>
      <c r="Y40" s="32">
        <v>0</v>
      </c>
      <c r="Z40" s="32">
        <v>0</v>
      </c>
      <c r="AA40" s="32">
        <v>0</v>
      </c>
      <c r="AB40" s="32">
        <v>0</v>
      </c>
      <c r="AC40" s="32">
        <v>0</v>
      </c>
      <c r="AD40" s="32">
        <v>0</v>
      </c>
      <c r="AE40" s="32">
        <v>0</v>
      </c>
      <c r="AF40" s="32">
        <v>0</v>
      </c>
      <c r="AG40" s="32">
        <v>0</v>
      </c>
      <c r="AH40" s="32">
        <v>0</v>
      </c>
      <c r="AI40" s="32">
        <v>0</v>
      </c>
      <c r="AJ40" s="32">
        <v>0</v>
      </c>
      <c r="AK40" s="32">
        <v>0</v>
      </c>
      <c r="AL40" s="32">
        <v>0</v>
      </c>
      <c r="AM40" s="32">
        <v>0</v>
      </c>
      <c r="AN40" s="32">
        <v>0</v>
      </c>
      <c r="AO40" s="32">
        <v>0</v>
      </c>
      <c r="AP40" s="32">
        <v>0</v>
      </c>
      <c r="AQ40" s="32">
        <v>0</v>
      </c>
      <c r="AR40" s="32">
        <v>0</v>
      </c>
      <c r="AS40" s="32">
        <v>0</v>
      </c>
      <c r="AT40" s="32">
        <v>0</v>
      </c>
      <c r="AU40" s="32">
        <v>0</v>
      </c>
      <c r="AV40" s="32">
        <v>0</v>
      </c>
      <c r="AW40" s="32">
        <v>0</v>
      </c>
      <c r="AX40" s="32">
        <v>0</v>
      </c>
      <c r="AY40" s="32">
        <v>0</v>
      </c>
      <c r="AZ40" s="32">
        <v>0</v>
      </c>
      <c r="BA40" s="32">
        <v>0</v>
      </c>
      <c r="BB40" s="32">
        <v>0</v>
      </c>
      <c r="BC40" s="32">
        <v>0</v>
      </c>
      <c r="BD40" s="32">
        <v>0</v>
      </c>
      <c r="BE40" s="32">
        <v>0</v>
      </c>
      <c r="BF40" s="32">
        <v>0</v>
      </c>
      <c r="BG40" s="32">
        <v>0</v>
      </c>
      <c r="BH40" s="32">
        <v>0</v>
      </c>
      <c r="BI40" s="32">
        <v>0</v>
      </c>
      <c r="BJ40" s="32">
        <v>0</v>
      </c>
      <c r="BK40" s="32">
        <v>0</v>
      </c>
      <c r="BL40" s="32">
        <v>0</v>
      </c>
      <c r="BM40" s="32">
        <v>0</v>
      </c>
      <c r="BN40" s="32">
        <v>0</v>
      </c>
      <c r="BO40" s="32">
        <v>0</v>
      </c>
      <c r="BP40" s="32">
        <v>0</v>
      </c>
      <c r="BQ40" s="32">
        <v>0</v>
      </c>
      <c r="BR40" s="32">
        <v>0</v>
      </c>
      <c r="BS40" s="32">
        <v>0</v>
      </c>
      <c r="BT40" s="32">
        <v>0</v>
      </c>
      <c r="BU40" s="32">
        <v>0</v>
      </c>
      <c r="BV40" s="32">
        <v>0</v>
      </c>
      <c r="BW40" s="32">
        <v>0</v>
      </c>
      <c r="BX40" s="32">
        <v>0</v>
      </c>
      <c r="BY40" s="32">
        <v>0</v>
      </c>
      <c r="BZ40" s="32">
        <v>0</v>
      </c>
      <c r="CA40" s="32">
        <v>0</v>
      </c>
      <c r="CB40" s="32">
        <v>0</v>
      </c>
      <c r="CC40" s="32">
        <v>0</v>
      </c>
      <c r="CD40" s="32">
        <v>0</v>
      </c>
      <c r="CE40" s="32">
        <v>0</v>
      </c>
      <c r="CF40" s="32">
        <v>0</v>
      </c>
      <c r="CG40" s="32">
        <v>0</v>
      </c>
      <c r="CH40" s="32">
        <v>0</v>
      </c>
      <c r="CI40" s="32">
        <v>0</v>
      </c>
      <c r="CJ40" s="32">
        <v>0</v>
      </c>
    </row>
    <row r="41" spans="1:88" hidden="1">
      <c r="A41" s="136"/>
      <c r="B41" s="39" t="str">
        <f ca="1">DEC2HEX(B40,INDIRECT("'parameters recipe'!$C"&amp;B$27))</f>
        <v>0</v>
      </c>
      <c r="C41" s="39" t="e">
        <f t="shared" ref="C41:L41" ca="1" si="23">DEC2HEX(C40,INDIRECT("'parameters recipe'!$C"&amp;C$27))</f>
        <v>#NUM!</v>
      </c>
      <c r="D41" s="39" t="str">
        <f t="shared" ca="1" si="23"/>
        <v>0</v>
      </c>
      <c r="E41" s="39" t="e">
        <f t="shared" ca="1" si="23"/>
        <v>#NUM!</v>
      </c>
      <c r="F41" s="39" t="str">
        <f t="shared" ca="1" si="23"/>
        <v>0</v>
      </c>
      <c r="G41" s="39" t="e">
        <f t="shared" ca="1" si="23"/>
        <v>#NUM!</v>
      </c>
      <c r="H41" s="39" t="str">
        <f t="shared" ca="1" si="23"/>
        <v>0</v>
      </c>
      <c r="I41" s="39" t="e">
        <f t="shared" ca="1" si="23"/>
        <v>#NUM!</v>
      </c>
      <c r="J41" s="39" t="str">
        <f t="shared" ca="1" si="23"/>
        <v>0</v>
      </c>
      <c r="K41" s="39" t="e">
        <f t="shared" ca="1" si="23"/>
        <v>#NUM!</v>
      </c>
      <c r="L41" s="39" t="str">
        <f t="shared" ca="1" si="23"/>
        <v>0</v>
      </c>
      <c r="M41" s="123" t="str">
        <f>BIN2HEX(CONCATENATE(M40,N40,O40,P40,Q40,R40,S40,T40),2)</f>
        <v>00</v>
      </c>
      <c r="N41" s="124"/>
      <c r="O41" s="124"/>
      <c r="P41" s="124"/>
      <c r="Q41" s="124"/>
      <c r="R41" s="124"/>
      <c r="S41" s="124"/>
      <c r="T41" s="125"/>
      <c r="U41" s="39" t="e">
        <f t="shared" ref="U41:X41" ca="1" si="24">DEC2HEX(U40,INDIRECT("'parameters recipe'!$C"&amp;U$27))</f>
        <v>#NUM!</v>
      </c>
      <c r="V41" s="39" t="e">
        <f t="shared" ca="1" si="24"/>
        <v>#NUM!</v>
      </c>
      <c r="W41" s="39" t="e">
        <f t="shared" ca="1" si="24"/>
        <v>#NUM!</v>
      </c>
      <c r="X41" s="39" t="e">
        <f t="shared" ca="1" si="24"/>
        <v>#NUM!</v>
      </c>
      <c r="Y41" s="123" t="str">
        <f>BIN2HEX(CONCATENATE(Y40,Z40,AA40,AB40,AC40,AD40,AE40,AF40),2)</f>
        <v>00</v>
      </c>
      <c r="Z41" s="124"/>
      <c r="AA41" s="124"/>
      <c r="AB41" s="124"/>
      <c r="AC41" s="124"/>
      <c r="AD41" s="124"/>
      <c r="AE41" s="124"/>
      <c r="AF41" s="125"/>
      <c r="AG41" s="123" t="str">
        <f>BIN2HEX(CONCATENATE(AG40,AH40,AI40,AJ40,AK40,AL40,AM40,AN40),2)</f>
        <v>00</v>
      </c>
      <c r="AH41" s="124"/>
      <c r="AI41" s="124"/>
      <c r="AJ41" s="124"/>
      <c r="AK41" s="124"/>
      <c r="AL41" s="124"/>
      <c r="AM41" s="124"/>
      <c r="AN41" s="125"/>
      <c r="AO41" s="123" t="str">
        <f>BIN2HEX(CONCATENATE(AO40,AP40,AQ40,AR40,AS40,AT40,AU40,AV40),2)</f>
        <v>00</v>
      </c>
      <c r="AP41" s="124"/>
      <c r="AQ41" s="124"/>
      <c r="AR41" s="124"/>
      <c r="AS41" s="124"/>
      <c r="AT41" s="124"/>
      <c r="AU41" s="124"/>
      <c r="AV41" s="125"/>
      <c r="AW41" s="123" t="str">
        <f>BIN2HEX(CONCATENATE(AW40,AX40,AY40,AZ40,BA40,BB40,BC40,BD40),2)</f>
        <v>00</v>
      </c>
      <c r="AX41" s="124"/>
      <c r="AY41" s="124"/>
      <c r="AZ41" s="124"/>
      <c r="BA41" s="124"/>
      <c r="BB41" s="124"/>
      <c r="BC41" s="124"/>
      <c r="BD41" s="125"/>
      <c r="BE41" s="123" t="str">
        <f>BIN2HEX(CONCATENATE(BE40,BF40,BG40,BH40,BI40,BJ40,BK40,BL40),2)</f>
        <v>00</v>
      </c>
      <c r="BF41" s="124"/>
      <c r="BG41" s="124"/>
      <c r="BH41" s="124"/>
      <c r="BI41" s="124"/>
      <c r="BJ41" s="124"/>
      <c r="BK41" s="124"/>
      <c r="BL41" s="125"/>
      <c r="BM41" s="123" t="str">
        <f>BIN2HEX(CONCATENATE(BM40,BN40,BO40,BP40,BQ40,BR40,BS40,BT40),2)</f>
        <v>00</v>
      </c>
      <c r="BN41" s="124"/>
      <c r="BO41" s="124"/>
      <c r="BP41" s="124"/>
      <c r="BQ41" s="124"/>
      <c r="BR41" s="124"/>
      <c r="BS41" s="124"/>
      <c r="BT41" s="125"/>
      <c r="BU41" s="123" t="str">
        <f>BIN2HEX(CONCATENATE(BU40,BV40,BW40,BX40,BY40,BZ40,CA40,CB40),2)</f>
        <v>00</v>
      </c>
      <c r="BV41" s="124"/>
      <c r="BW41" s="124"/>
      <c r="BX41" s="124"/>
      <c r="BY41" s="124"/>
      <c r="BZ41" s="124"/>
      <c r="CA41" s="124"/>
      <c r="CB41" s="125"/>
      <c r="CC41" s="123" t="str">
        <f>BIN2HEX(CONCATENATE(CC40,CD40,CE40,CF40,CG40,CH40,CI40,CJ40),2)</f>
        <v>00</v>
      </c>
      <c r="CD41" s="124"/>
      <c r="CE41" s="124"/>
      <c r="CF41" s="124"/>
      <c r="CG41" s="124"/>
      <c r="CH41" s="124"/>
      <c r="CI41" s="124"/>
      <c r="CJ41" s="125"/>
    </row>
    <row r="42" spans="1:88">
      <c r="A42" s="135" t="s">
        <v>17</v>
      </c>
      <c r="B42" s="32">
        <v>0</v>
      </c>
      <c r="C42" s="32">
        <v>0</v>
      </c>
      <c r="D42" s="32">
        <v>0</v>
      </c>
      <c r="E42" s="32">
        <v>0</v>
      </c>
      <c r="F42" s="32">
        <v>0</v>
      </c>
      <c r="G42" s="32">
        <v>0</v>
      </c>
      <c r="H42" s="32">
        <v>0</v>
      </c>
      <c r="I42" s="32">
        <v>0</v>
      </c>
      <c r="J42" s="32">
        <v>0</v>
      </c>
      <c r="K42" s="32">
        <v>0</v>
      </c>
      <c r="L42" s="32">
        <v>0</v>
      </c>
      <c r="M42" s="32">
        <v>0</v>
      </c>
      <c r="N42" s="32">
        <v>0</v>
      </c>
      <c r="O42" s="32">
        <v>0</v>
      </c>
      <c r="P42" s="32">
        <v>0</v>
      </c>
      <c r="Q42" s="32">
        <v>0</v>
      </c>
      <c r="R42" s="32">
        <v>0</v>
      </c>
      <c r="S42" s="32">
        <v>0</v>
      </c>
      <c r="T42" s="32">
        <v>0</v>
      </c>
      <c r="U42" s="32">
        <v>0</v>
      </c>
      <c r="V42" s="32">
        <v>0</v>
      </c>
      <c r="W42" s="32">
        <v>0</v>
      </c>
      <c r="X42" s="32">
        <v>0</v>
      </c>
      <c r="Y42" s="32">
        <v>0</v>
      </c>
      <c r="Z42" s="32">
        <v>0</v>
      </c>
      <c r="AA42" s="32">
        <v>0</v>
      </c>
      <c r="AB42" s="32">
        <v>0</v>
      </c>
      <c r="AC42" s="32">
        <v>0</v>
      </c>
      <c r="AD42" s="32">
        <v>0</v>
      </c>
      <c r="AE42" s="32">
        <v>0</v>
      </c>
      <c r="AF42" s="32">
        <v>0</v>
      </c>
      <c r="AG42" s="32">
        <v>0</v>
      </c>
      <c r="AH42" s="32">
        <v>0</v>
      </c>
      <c r="AI42" s="32">
        <v>0</v>
      </c>
      <c r="AJ42" s="32">
        <v>0</v>
      </c>
      <c r="AK42" s="32">
        <v>0</v>
      </c>
      <c r="AL42" s="32">
        <v>0</v>
      </c>
      <c r="AM42" s="32">
        <v>0</v>
      </c>
      <c r="AN42" s="32">
        <v>0</v>
      </c>
      <c r="AO42" s="32">
        <v>0</v>
      </c>
      <c r="AP42" s="32">
        <v>0</v>
      </c>
      <c r="AQ42" s="32">
        <v>0</v>
      </c>
      <c r="AR42" s="32">
        <v>0</v>
      </c>
      <c r="AS42" s="32">
        <v>0</v>
      </c>
      <c r="AT42" s="32">
        <v>0</v>
      </c>
      <c r="AU42" s="32">
        <v>0</v>
      </c>
      <c r="AV42" s="32">
        <v>0</v>
      </c>
      <c r="AW42" s="32">
        <v>0</v>
      </c>
      <c r="AX42" s="32">
        <v>0</v>
      </c>
      <c r="AY42" s="32">
        <v>0</v>
      </c>
      <c r="AZ42" s="32">
        <v>0</v>
      </c>
      <c r="BA42" s="32">
        <v>0</v>
      </c>
      <c r="BB42" s="32">
        <v>0</v>
      </c>
      <c r="BC42" s="32">
        <v>0</v>
      </c>
      <c r="BD42" s="32">
        <v>0</v>
      </c>
      <c r="BE42" s="32">
        <v>0</v>
      </c>
      <c r="BF42" s="32">
        <v>0</v>
      </c>
      <c r="BG42" s="32">
        <v>0</v>
      </c>
      <c r="BH42" s="32">
        <v>0</v>
      </c>
      <c r="BI42" s="32">
        <v>0</v>
      </c>
      <c r="BJ42" s="32">
        <v>0</v>
      </c>
      <c r="BK42" s="32">
        <v>0</v>
      </c>
      <c r="BL42" s="32">
        <v>0</v>
      </c>
      <c r="BM42" s="32">
        <v>0</v>
      </c>
      <c r="BN42" s="32">
        <v>0</v>
      </c>
      <c r="BO42" s="32">
        <v>0</v>
      </c>
      <c r="BP42" s="32">
        <v>0</v>
      </c>
      <c r="BQ42" s="32">
        <v>0</v>
      </c>
      <c r="BR42" s="32">
        <v>0</v>
      </c>
      <c r="BS42" s="32">
        <v>0</v>
      </c>
      <c r="BT42" s="32">
        <v>0</v>
      </c>
      <c r="BU42" s="32">
        <v>0</v>
      </c>
      <c r="BV42" s="32">
        <v>0</v>
      </c>
      <c r="BW42" s="32">
        <v>0</v>
      </c>
      <c r="BX42" s="32">
        <v>0</v>
      </c>
      <c r="BY42" s="32">
        <v>0</v>
      </c>
      <c r="BZ42" s="32">
        <v>0</v>
      </c>
      <c r="CA42" s="32">
        <v>0</v>
      </c>
      <c r="CB42" s="32">
        <v>0</v>
      </c>
      <c r="CC42" s="32">
        <v>0</v>
      </c>
      <c r="CD42" s="32">
        <v>0</v>
      </c>
      <c r="CE42" s="32">
        <v>0</v>
      </c>
      <c r="CF42" s="32">
        <v>0</v>
      </c>
      <c r="CG42" s="32">
        <v>0</v>
      </c>
      <c r="CH42" s="32">
        <v>0</v>
      </c>
      <c r="CI42" s="32">
        <v>0</v>
      </c>
      <c r="CJ42" s="32">
        <v>0</v>
      </c>
    </row>
    <row r="43" spans="1:88" hidden="1">
      <c r="A43" s="136"/>
      <c r="B43" s="39" t="str">
        <f ca="1">DEC2HEX(B42,INDIRECT("'parameters recipe'!$C"&amp;B$27))</f>
        <v>0</v>
      </c>
      <c r="C43" s="39" t="e">
        <f t="shared" ref="C43:L43" ca="1" si="25">DEC2HEX(C42,INDIRECT("'parameters recipe'!$C"&amp;C$27))</f>
        <v>#NUM!</v>
      </c>
      <c r="D43" s="39" t="str">
        <f t="shared" ca="1" si="25"/>
        <v>0</v>
      </c>
      <c r="E43" s="39" t="e">
        <f t="shared" ca="1" si="25"/>
        <v>#NUM!</v>
      </c>
      <c r="F43" s="39" t="str">
        <f t="shared" ca="1" si="25"/>
        <v>0</v>
      </c>
      <c r="G43" s="39" t="e">
        <f t="shared" ca="1" si="25"/>
        <v>#NUM!</v>
      </c>
      <c r="H43" s="39" t="str">
        <f t="shared" ca="1" si="25"/>
        <v>0</v>
      </c>
      <c r="I43" s="39" t="e">
        <f t="shared" ca="1" si="25"/>
        <v>#NUM!</v>
      </c>
      <c r="J43" s="39" t="str">
        <f t="shared" ca="1" si="25"/>
        <v>0</v>
      </c>
      <c r="K43" s="39" t="e">
        <f t="shared" ca="1" si="25"/>
        <v>#NUM!</v>
      </c>
      <c r="L43" s="39" t="str">
        <f t="shared" ca="1" si="25"/>
        <v>0</v>
      </c>
      <c r="M43" s="123" t="str">
        <f>BIN2HEX(CONCATENATE(M42,N42,O42,P42,Q42,R42,S42,T42),2)</f>
        <v>00</v>
      </c>
      <c r="N43" s="124"/>
      <c r="O43" s="124"/>
      <c r="P43" s="124"/>
      <c r="Q43" s="124"/>
      <c r="R43" s="124"/>
      <c r="S43" s="124"/>
      <c r="T43" s="125"/>
      <c r="U43" s="39" t="e">
        <f t="shared" ref="U43:X43" ca="1" si="26">DEC2HEX(U42,INDIRECT("'parameters recipe'!$C"&amp;U$27))</f>
        <v>#NUM!</v>
      </c>
      <c r="V43" s="39" t="e">
        <f t="shared" ca="1" si="26"/>
        <v>#NUM!</v>
      </c>
      <c r="W43" s="39" t="e">
        <f t="shared" ca="1" si="26"/>
        <v>#NUM!</v>
      </c>
      <c r="X43" s="39" t="e">
        <f t="shared" ca="1" si="26"/>
        <v>#NUM!</v>
      </c>
      <c r="Y43" s="123" t="str">
        <f>BIN2HEX(CONCATENATE(Y42,Z42,AA42,AB42,AC42,AD42,AE42,AF42),2)</f>
        <v>00</v>
      </c>
      <c r="Z43" s="124"/>
      <c r="AA43" s="124"/>
      <c r="AB43" s="124"/>
      <c r="AC43" s="124"/>
      <c r="AD43" s="124"/>
      <c r="AE43" s="124"/>
      <c r="AF43" s="125"/>
      <c r="AG43" s="123" t="str">
        <f>BIN2HEX(CONCATENATE(AG42,AH42,AI42,AJ42,AK42,AL42,AM42,AN42),2)</f>
        <v>00</v>
      </c>
      <c r="AH43" s="124"/>
      <c r="AI43" s="124"/>
      <c r="AJ43" s="124"/>
      <c r="AK43" s="124"/>
      <c r="AL43" s="124"/>
      <c r="AM43" s="124"/>
      <c r="AN43" s="125"/>
      <c r="AO43" s="123" t="str">
        <f>BIN2HEX(CONCATENATE(AO42,AP42,AQ42,AR42,AS42,AT42,AU42,AV42),2)</f>
        <v>00</v>
      </c>
      <c r="AP43" s="124"/>
      <c r="AQ43" s="124"/>
      <c r="AR43" s="124"/>
      <c r="AS43" s="124"/>
      <c r="AT43" s="124"/>
      <c r="AU43" s="124"/>
      <c r="AV43" s="125"/>
      <c r="AW43" s="123" t="str">
        <f>BIN2HEX(CONCATENATE(AW42,AX42,AY42,AZ42,BA42,BB42,BC42,BD42),2)</f>
        <v>00</v>
      </c>
      <c r="AX43" s="124"/>
      <c r="AY43" s="124"/>
      <c r="AZ43" s="124"/>
      <c r="BA43" s="124"/>
      <c r="BB43" s="124"/>
      <c r="BC43" s="124"/>
      <c r="BD43" s="125"/>
      <c r="BE43" s="123" t="str">
        <f>BIN2HEX(CONCATENATE(BE42,BF42,BG42,BH42,BI42,BJ42,BK42,BL42),2)</f>
        <v>00</v>
      </c>
      <c r="BF43" s="124"/>
      <c r="BG43" s="124"/>
      <c r="BH43" s="124"/>
      <c r="BI43" s="124"/>
      <c r="BJ43" s="124"/>
      <c r="BK43" s="124"/>
      <c r="BL43" s="125"/>
      <c r="BM43" s="123" t="str">
        <f>BIN2HEX(CONCATENATE(BM42,BN42,BO42,BP42,BQ42,BR42,BS42,BT42),2)</f>
        <v>00</v>
      </c>
      <c r="BN43" s="124"/>
      <c r="BO43" s="124"/>
      <c r="BP43" s="124"/>
      <c r="BQ43" s="124"/>
      <c r="BR43" s="124"/>
      <c r="BS43" s="124"/>
      <c r="BT43" s="125"/>
      <c r="BU43" s="123" t="str">
        <f>BIN2HEX(CONCATENATE(BU42,BV42,BW42,BX42,BY42,BZ42,CA42,CB42),2)</f>
        <v>00</v>
      </c>
      <c r="BV43" s="124"/>
      <c r="BW43" s="124"/>
      <c r="BX43" s="124"/>
      <c r="BY43" s="124"/>
      <c r="BZ43" s="124"/>
      <c r="CA43" s="124"/>
      <c r="CB43" s="125"/>
      <c r="CC43" s="123" t="str">
        <f>BIN2HEX(CONCATENATE(CC42,CD42,CE42,CF42,CG42,CH42,CI42,CJ42),2)</f>
        <v>00</v>
      </c>
      <c r="CD43" s="124"/>
      <c r="CE43" s="124"/>
      <c r="CF43" s="124"/>
      <c r="CG43" s="124"/>
      <c r="CH43" s="124"/>
      <c r="CI43" s="124"/>
      <c r="CJ43" s="125"/>
    </row>
    <row r="44" spans="1:88">
      <c r="A44" s="135" t="s">
        <v>18</v>
      </c>
      <c r="B44" s="32">
        <v>0</v>
      </c>
      <c r="C44" s="32">
        <v>0</v>
      </c>
      <c r="D44" s="32">
        <v>0</v>
      </c>
      <c r="E44" s="32">
        <v>0</v>
      </c>
      <c r="F44" s="32">
        <v>0</v>
      </c>
      <c r="G44" s="32">
        <v>0</v>
      </c>
      <c r="H44" s="32">
        <v>0</v>
      </c>
      <c r="I44" s="32">
        <v>0</v>
      </c>
      <c r="J44" s="32">
        <v>0</v>
      </c>
      <c r="K44" s="32">
        <v>0</v>
      </c>
      <c r="L44" s="32">
        <v>0</v>
      </c>
      <c r="M44" s="32">
        <v>0</v>
      </c>
      <c r="N44" s="32">
        <v>0</v>
      </c>
      <c r="O44" s="32">
        <v>0</v>
      </c>
      <c r="P44" s="32">
        <v>0</v>
      </c>
      <c r="Q44" s="32">
        <v>0</v>
      </c>
      <c r="R44" s="32">
        <v>0</v>
      </c>
      <c r="S44" s="32">
        <v>0</v>
      </c>
      <c r="T44" s="32">
        <v>0</v>
      </c>
      <c r="U44" s="32">
        <v>0</v>
      </c>
      <c r="V44" s="32">
        <v>0</v>
      </c>
      <c r="W44" s="32">
        <v>0</v>
      </c>
      <c r="X44" s="32">
        <v>0</v>
      </c>
      <c r="Y44" s="32">
        <v>0</v>
      </c>
      <c r="Z44" s="32">
        <v>0</v>
      </c>
      <c r="AA44" s="32">
        <v>0</v>
      </c>
      <c r="AB44" s="32">
        <v>0</v>
      </c>
      <c r="AC44" s="32">
        <v>0</v>
      </c>
      <c r="AD44" s="32">
        <v>0</v>
      </c>
      <c r="AE44" s="32">
        <v>0</v>
      </c>
      <c r="AF44" s="32">
        <v>0</v>
      </c>
      <c r="AG44" s="32">
        <v>0</v>
      </c>
      <c r="AH44" s="32">
        <v>0</v>
      </c>
      <c r="AI44" s="32">
        <v>0</v>
      </c>
      <c r="AJ44" s="32">
        <v>0</v>
      </c>
      <c r="AK44" s="32">
        <v>0</v>
      </c>
      <c r="AL44" s="32">
        <v>0</v>
      </c>
      <c r="AM44" s="32">
        <v>0</v>
      </c>
      <c r="AN44" s="32">
        <v>0</v>
      </c>
      <c r="AO44" s="32">
        <v>0</v>
      </c>
      <c r="AP44" s="32">
        <v>0</v>
      </c>
      <c r="AQ44" s="32">
        <v>0</v>
      </c>
      <c r="AR44" s="32">
        <v>0</v>
      </c>
      <c r="AS44" s="32">
        <v>0</v>
      </c>
      <c r="AT44" s="32">
        <v>0</v>
      </c>
      <c r="AU44" s="32">
        <v>0</v>
      </c>
      <c r="AV44" s="32">
        <v>0</v>
      </c>
      <c r="AW44" s="32">
        <v>0</v>
      </c>
      <c r="AX44" s="32">
        <v>0</v>
      </c>
      <c r="AY44" s="32">
        <v>0</v>
      </c>
      <c r="AZ44" s="32">
        <v>0</v>
      </c>
      <c r="BA44" s="32">
        <v>0</v>
      </c>
      <c r="BB44" s="32">
        <v>0</v>
      </c>
      <c r="BC44" s="32">
        <v>0</v>
      </c>
      <c r="BD44" s="32">
        <v>0</v>
      </c>
      <c r="BE44" s="32">
        <v>0</v>
      </c>
      <c r="BF44" s="32">
        <v>0</v>
      </c>
      <c r="BG44" s="32">
        <v>0</v>
      </c>
      <c r="BH44" s="32">
        <v>0</v>
      </c>
      <c r="BI44" s="32">
        <v>0</v>
      </c>
      <c r="BJ44" s="32">
        <v>0</v>
      </c>
      <c r="BK44" s="32">
        <v>0</v>
      </c>
      <c r="BL44" s="32">
        <v>0</v>
      </c>
      <c r="BM44" s="32">
        <v>0</v>
      </c>
      <c r="BN44" s="32">
        <v>0</v>
      </c>
      <c r="BO44" s="32">
        <v>0</v>
      </c>
      <c r="BP44" s="32">
        <v>0</v>
      </c>
      <c r="BQ44" s="32">
        <v>0</v>
      </c>
      <c r="BR44" s="32">
        <v>0</v>
      </c>
      <c r="BS44" s="32">
        <v>0</v>
      </c>
      <c r="BT44" s="32">
        <v>0</v>
      </c>
      <c r="BU44" s="32">
        <v>0</v>
      </c>
      <c r="BV44" s="32">
        <v>0</v>
      </c>
      <c r="BW44" s="32">
        <v>0</v>
      </c>
      <c r="BX44" s="32">
        <v>0</v>
      </c>
      <c r="BY44" s="32">
        <v>0</v>
      </c>
      <c r="BZ44" s="32">
        <v>0</v>
      </c>
      <c r="CA44" s="32">
        <v>0</v>
      </c>
      <c r="CB44" s="32">
        <v>0</v>
      </c>
      <c r="CC44" s="32">
        <v>0</v>
      </c>
      <c r="CD44" s="32">
        <v>0</v>
      </c>
      <c r="CE44" s="32">
        <v>0</v>
      </c>
      <c r="CF44" s="32">
        <v>0</v>
      </c>
      <c r="CG44" s="32">
        <v>0</v>
      </c>
      <c r="CH44" s="32">
        <v>0</v>
      </c>
      <c r="CI44" s="32">
        <v>0</v>
      </c>
      <c r="CJ44" s="32">
        <v>0</v>
      </c>
    </row>
    <row r="45" spans="1:88" hidden="1">
      <c r="A45" s="136"/>
      <c r="B45" s="39" t="str">
        <f ca="1">DEC2HEX(B44,INDIRECT("'parameters recipe'!$C"&amp;B$27))</f>
        <v>0</v>
      </c>
      <c r="C45" s="39" t="e">
        <f t="shared" ref="C45:L45" ca="1" si="27">DEC2HEX(C44,INDIRECT("'parameters recipe'!$C"&amp;C$27))</f>
        <v>#NUM!</v>
      </c>
      <c r="D45" s="39" t="str">
        <f t="shared" ca="1" si="27"/>
        <v>0</v>
      </c>
      <c r="E45" s="39" t="e">
        <f t="shared" ca="1" si="27"/>
        <v>#NUM!</v>
      </c>
      <c r="F45" s="39" t="str">
        <f t="shared" ca="1" si="27"/>
        <v>0</v>
      </c>
      <c r="G45" s="39" t="e">
        <f t="shared" ca="1" si="27"/>
        <v>#NUM!</v>
      </c>
      <c r="H45" s="39" t="str">
        <f t="shared" ca="1" si="27"/>
        <v>0</v>
      </c>
      <c r="I45" s="39" t="e">
        <f t="shared" ca="1" si="27"/>
        <v>#NUM!</v>
      </c>
      <c r="J45" s="39" t="str">
        <f t="shared" ca="1" si="27"/>
        <v>0</v>
      </c>
      <c r="K45" s="39" t="e">
        <f t="shared" ca="1" si="27"/>
        <v>#NUM!</v>
      </c>
      <c r="L45" s="39" t="str">
        <f t="shared" ca="1" si="27"/>
        <v>0</v>
      </c>
      <c r="M45" s="123" t="str">
        <f>BIN2HEX(CONCATENATE(M44,N44,O44,P44,Q44,R44,S44,T44),2)</f>
        <v>00</v>
      </c>
      <c r="N45" s="124"/>
      <c r="O45" s="124"/>
      <c r="P45" s="124"/>
      <c r="Q45" s="124"/>
      <c r="R45" s="124"/>
      <c r="S45" s="124"/>
      <c r="T45" s="125"/>
      <c r="U45" s="39" t="e">
        <f t="shared" ref="U45:X45" ca="1" si="28">DEC2HEX(U44,INDIRECT("'parameters recipe'!$C"&amp;U$27))</f>
        <v>#NUM!</v>
      </c>
      <c r="V45" s="39" t="e">
        <f t="shared" ca="1" si="28"/>
        <v>#NUM!</v>
      </c>
      <c r="W45" s="39" t="e">
        <f t="shared" ca="1" si="28"/>
        <v>#NUM!</v>
      </c>
      <c r="X45" s="39" t="e">
        <f t="shared" ca="1" si="28"/>
        <v>#NUM!</v>
      </c>
      <c r="Y45" s="123" t="str">
        <f>BIN2HEX(CONCATENATE(Y44,Z44,AA44,AB44,AC44,AD44,AE44,AF44),2)</f>
        <v>00</v>
      </c>
      <c r="Z45" s="124"/>
      <c r="AA45" s="124"/>
      <c r="AB45" s="124"/>
      <c r="AC45" s="124"/>
      <c r="AD45" s="124"/>
      <c r="AE45" s="124"/>
      <c r="AF45" s="125"/>
      <c r="AG45" s="123" t="str">
        <f>BIN2HEX(CONCATENATE(AG44,AH44,AI44,AJ44,AK44,AL44,AM44,AN44),2)</f>
        <v>00</v>
      </c>
      <c r="AH45" s="124"/>
      <c r="AI45" s="124"/>
      <c r="AJ45" s="124"/>
      <c r="AK45" s="124"/>
      <c r="AL45" s="124"/>
      <c r="AM45" s="124"/>
      <c r="AN45" s="125"/>
      <c r="AO45" s="123" t="str">
        <f>BIN2HEX(CONCATENATE(AO44,AP44,AQ44,AR44,AS44,AT44,AU44,AV44),2)</f>
        <v>00</v>
      </c>
      <c r="AP45" s="124"/>
      <c r="AQ45" s="124"/>
      <c r="AR45" s="124"/>
      <c r="AS45" s="124"/>
      <c r="AT45" s="124"/>
      <c r="AU45" s="124"/>
      <c r="AV45" s="125"/>
      <c r="AW45" s="123" t="str">
        <f>BIN2HEX(CONCATENATE(AW44,AX44,AY44,AZ44,BA44,BB44,BC44,BD44),2)</f>
        <v>00</v>
      </c>
      <c r="AX45" s="124"/>
      <c r="AY45" s="124"/>
      <c r="AZ45" s="124"/>
      <c r="BA45" s="124"/>
      <c r="BB45" s="124"/>
      <c r="BC45" s="124"/>
      <c r="BD45" s="125"/>
      <c r="BE45" s="123" t="str">
        <f>BIN2HEX(CONCATENATE(BE44,BF44,BG44,BH44,BI44,BJ44,BK44,BL44),2)</f>
        <v>00</v>
      </c>
      <c r="BF45" s="124"/>
      <c r="BG45" s="124"/>
      <c r="BH45" s="124"/>
      <c r="BI45" s="124"/>
      <c r="BJ45" s="124"/>
      <c r="BK45" s="124"/>
      <c r="BL45" s="125"/>
      <c r="BM45" s="123" t="str">
        <f>BIN2HEX(CONCATENATE(BM44,BN44,BO44,BP44,BQ44,BR44,BS44,BT44),2)</f>
        <v>00</v>
      </c>
      <c r="BN45" s="124"/>
      <c r="BO45" s="124"/>
      <c r="BP45" s="124"/>
      <c r="BQ45" s="124"/>
      <c r="BR45" s="124"/>
      <c r="BS45" s="124"/>
      <c r="BT45" s="125"/>
      <c r="BU45" s="123" t="str">
        <f>BIN2HEX(CONCATENATE(BU44,BV44,BW44,BX44,BY44,BZ44,CA44,CB44),2)</f>
        <v>00</v>
      </c>
      <c r="BV45" s="124"/>
      <c r="BW45" s="124"/>
      <c r="BX45" s="124"/>
      <c r="BY45" s="124"/>
      <c r="BZ45" s="124"/>
      <c r="CA45" s="124"/>
      <c r="CB45" s="125"/>
      <c r="CC45" s="123" t="str">
        <f>BIN2HEX(CONCATENATE(CC44,CD44,CE44,CF44,CG44,CH44,CI44,CJ44),2)</f>
        <v>00</v>
      </c>
      <c r="CD45" s="124"/>
      <c r="CE45" s="124"/>
      <c r="CF45" s="124"/>
      <c r="CG45" s="124"/>
      <c r="CH45" s="124"/>
      <c r="CI45" s="124"/>
      <c r="CJ45" s="125"/>
    </row>
    <row r="46" spans="1:88">
      <c r="A46" s="135" t="s">
        <v>19</v>
      </c>
      <c r="B46" s="32">
        <v>0</v>
      </c>
      <c r="C46" s="32">
        <v>0</v>
      </c>
      <c r="D46" s="32">
        <v>0</v>
      </c>
      <c r="E46" s="32">
        <v>0</v>
      </c>
      <c r="F46" s="32">
        <v>0</v>
      </c>
      <c r="G46" s="32">
        <v>0</v>
      </c>
      <c r="H46" s="32">
        <v>0</v>
      </c>
      <c r="I46" s="32">
        <v>0</v>
      </c>
      <c r="J46" s="32">
        <v>0</v>
      </c>
      <c r="K46" s="32">
        <v>0</v>
      </c>
      <c r="L46" s="32">
        <v>0</v>
      </c>
      <c r="M46" s="32">
        <v>0</v>
      </c>
      <c r="N46" s="32">
        <v>0</v>
      </c>
      <c r="O46" s="32">
        <v>0</v>
      </c>
      <c r="P46" s="32">
        <v>0</v>
      </c>
      <c r="Q46" s="32">
        <v>0</v>
      </c>
      <c r="R46" s="32">
        <v>0</v>
      </c>
      <c r="S46" s="32">
        <v>0</v>
      </c>
      <c r="T46" s="32">
        <v>0</v>
      </c>
      <c r="U46" s="32">
        <v>0</v>
      </c>
      <c r="V46" s="32">
        <v>0</v>
      </c>
      <c r="W46" s="32">
        <v>0</v>
      </c>
      <c r="X46" s="32">
        <v>0</v>
      </c>
      <c r="Y46" s="32">
        <v>0</v>
      </c>
      <c r="Z46" s="32">
        <v>0</v>
      </c>
      <c r="AA46" s="32">
        <v>0</v>
      </c>
      <c r="AB46" s="32">
        <v>0</v>
      </c>
      <c r="AC46" s="32">
        <v>0</v>
      </c>
      <c r="AD46" s="32">
        <v>0</v>
      </c>
      <c r="AE46" s="32">
        <v>0</v>
      </c>
      <c r="AF46" s="32">
        <v>0</v>
      </c>
      <c r="AG46" s="32">
        <v>0</v>
      </c>
      <c r="AH46" s="32">
        <v>0</v>
      </c>
      <c r="AI46" s="32">
        <v>0</v>
      </c>
      <c r="AJ46" s="32">
        <v>0</v>
      </c>
      <c r="AK46" s="32">
        <v>0</v>
      </c>
      <c r="AL46" s="32">
        <v>0</v>
      </c>
      <c r="AM46" s="32">
        <v>0</v>
      </c>
      <c r="AN46" s="32">
        <v>0</v>
      </c>
      <c r="AO46" s="32">
        <v>0</v>
      </c>
      <c r="AP46" s="32">
        <v>0</v>
      </c>
      <c r="AQ46" s="32">
        <v>0</v>
      </c>
      <c r="AR46" s="32">
        <v>0</v>
      </c>
      <c r="AS46" s="32">
        <v>0</v>
      </c>
      <c r="AT46" s="32">
        <v>0</v>
      </c>
      <c r="AU46" s="32">
        <v>0</v>
      </c>
      <c r="AV46" s="32">
        <v>0</v>
      </c>
      <c r="AW46" s="32">
        <v>0</v>
      </c>
      <c r="AX46" s="32">
        <v>0</v>
      </c>
      <c r="AY46" s="32">
        <v>0</v>
      </c>
      <c r="AZ46" s="32">
        <v>0</v>
      </c>
      <c r="BA46" s="32">
        <v>0</v>
      </c>
      <c r="BB46" s="32">
        <v>0</v>
      </c>
      <c r="BC46" s="32">
        <v>0</v>
      </c>
      <c r="BD46" s="32">
        <v>0</v>
      </c>
      <c r="BE46" s="32">
        <v>0</v>
      </c>
      <c r="BF46" s="32">
        <v>0</v>
      </c>
      <c r="BG46" s="32">
        <v>0</v>
      </c>
      <c r="BH46" s="32">
        <v>0</v>
      </c>
      <c r="BI46" s="32">
        <v>0</v>
      </c>
      <c r="BJ46" s="32">
        <v>0</v>
      </c>
      <c r="BK46" s="32">
        <v>0</v>
      </c>
      <c r="BL46" s="32">
        <v>0</v>
      </c>
      <c r="BM46" s="32">
        <v>0</v>
      </c>
      <c r="BN46" s="32">
        <v>0</v>
      </c>
      <c r="BO46" s="32">
        <v>0</v>
      </c>
      <c r="BP46" s="32">
        <v>0</v>
      </c>
      <c r="BQ46" s="32">
        <v>0</v>
      </c>
      <c r="BR46" s="32">
        <v>0</v>
      </c>
      <c r="BS46" s="32">
        <v>0</v>
      </c>
      <c r="BT46" s="32">
        <v>0</v>
      </c>
      <c r="BU46" s="32">
        <v>0</v>
      </c>
      <c r="BV46" s="32">
        <v>0</v>
      </c>
      <c r="BW46" s="32">
        <v>0</v>
      </c>
      <c r="BX46" s="32">
        <v>0</v>
      </c>
      <c r="BY46" s="32">
        <v>0</v>
      </c>
      <c r="BZ46" s="32">
        <v>0</v>
      </c>
      <c r="CA46" s="32">
        <v>0</v>
      </c>
      <c r="CB46" s="32">
        <v>0</v>
      </c>
      <c r="CC46" s="32">
        <v>0</v>
      </c>
      <c r="CD46" s="32">
        <v>0</v>
      </c>
      <c r="CE46" s="32">
        <v>0</v>
      </c>
      <c r="CF46" s="32">
        <v>0</v>
      </c>
      <c r="CG46" s="32">
        <v>0</v>
      </c>
      <c r="CH46" s="32">
        <v>0</v>
      </c>
      <c r="CI46" s="32">
        <v>0</v>
      </c>
      <c r="CJ46" s="32">
        <v>0</v>
      </c>
    </row>
    <row r="47" spans="1:88" hidden="1">
      <c r="A47" s="136"/>
      <c r="B47" s="39" t="str">
        <f ca="1">DEC2HEX(B46,INDIRECT("'parameters recipe'!$C"&amp;B$27))</f>
        <v>0</v>
      </c>
      <c r="C47" s="39" t="e">
        <f t="shared" ref="C47:L47" ca="1" si="29">DEC2HEX(C46,INDIRECT("'parameters recipe'!$C"&amp;C$27))</f>
        <v>#NUM!</v>
      </c>
      <c r="D47" s="39" t="str">
        <f t="shared" ca="1" si="29"/>
        <v>0</v>
      </c>
      <c r="E47" s="39" t="e">
        <f t="shared" ca="1" si="29"/>
        <v>#NUM!</v>
      </c>
      <c r="F47" s="39" t="str">
        <f t="shared" ca="1" si="29"/>
        <v>0</v>
      </c>
      <c r="G47" s="39" t="e">
        <f t="shared" ca="1" si="29"/>
        <v>#NUM!</v>
      </c>
      <c r="H47" s="39" t="str">
        <f t="shared" ca="1" si="29"/>
        <v>0</v>
      </c>
      <c r="I47" s="39" t="e">
        <f t="shared" ca="1" si="29"/>
        <v>#NUM!</v>
      </c>
      <c r="J47" s="39" t="str">
        <f t="shared" ca="1" si="29"/>
        <v>0</v>
      </c>
      <c r="K47" s="39" t="e">
        <f t="shared" ca="1" si="29"/>
        <v>#NUM!</v>
      </c>
      <c r="L47" s="39" t="str">
        <f t="shared" ca="1" si="29"/>
        <v>0</v>
      </c>
      <c r="M47" s="123" t="str">
        <f>BIN2HEX(CONCATENATE(M46,N46,O46,P46,Q46,R46,S46,T46),2)</f>
        <v>00</v>
      </c>
      <c r="N47" s="124"/>
      <c r="O47" s="124"/>
      <c r="P47" s="124"/>
      <c r="Q47" s="124"/>
      <c r="R47" s="124"/>
      <c r="S47" s="124"/>
      <c r="T47" s="125"/>
      <c r="U47" s="39" t="e">
        <f t="shared" ref="U47:X47" ca="1" si="30">DEC2HEX(U46,INDIRECT("'parameters recipe'!$C"&amp;U$27))</f>
        <v>#NUM!</v>
      </c>
      <c r="V47" s="39" t="e">
        <f t="shared" ca="1" si="30"/>
        <v>#NUM!</v>
      </c>
      <c r="W47" s="39" t="e">
        <f t="shared" ca="1" si="30"/>
        <v>#NUM!</v>
      </c>
      <c r="X47" s="39" t="e">
        <f t="shared" ca="1" si="30"/>
        <v>#NUM!</v>
      </c>
      <c r="Y47" s="123" t="str">
        <f>BIN2HEX(CONCATENATE(Y46,Z46,AA46,AB46,AC46,AD46,AE46,AF46),2)</f>
        <v>00</v>
      </c>
      <c r="Z47" s="124"/>
      <c r="AA47" s="124"/>
      <c r="AB47" s="124"/>
      <c r="AC47" s="124"/>
      <c r="AD47" s="124"/>
      <c r="AE47" s="124"/>
      <c r="AF47" s="125"/>
      <c r="AG47" s="123" t="str">
        <f>BIN2HEX(CONCATENATE(AG46,AH46,AI46,AJ46,AK46,AL46,AM46,AN46),2)</f>
        <v>00</v>
      </c>
      <c r="AH47" s="124"/>
      <c r="AI47" s="124"/>
      <c r="AJ47" s="124"/>
      <c r="AK47" s="124"/>
      <c r="AL47" s="124"/>
      <c r="AM47" s="124"/>
      <c r="AN47" s="125"/>
      <c r="AO47" s="123" t="str">
        <f>BIN2HEX(CONCATENATE(AO46,AP46,AQ46,AR46,AS46,AT46,AU46,AV46),2)</f>
        <v>00</v>
      </c>
      <c r="AP47" s="124"/>
      <c r="AQ47" s="124"/>
      <c r="AR47" s="124"/>
      <c r="AS47" s="124"/>
      <c r="AT47" s="124"/>
      <c r="AU47" s="124"/>
      <c r="AV47" s="125"/>
      <c r="AW47" s="123" t="str">
        <f>BIN2HEX(CONCATENATE(AW46,AX46,AY46,AZ46,BA46,BB46,BC46,BD46),2)</f>
        <v>00</v>
      </c>
      <c r="AX47" s="124"/>
      <c r="AY47" s="124"/>
      <c r="AZ47" s="124"/>
      <c r="BA47" s="124"/>
      <c r="BB47" s="124"/>
      <c r="BC47" s="124"/>
      <c r="BD47" s="125"/>
      <c r="BE47" s="123" t="str">
        <f>BIN2HEX(CONCATENATE(BE46,BF46,BG46,BH46,BI46,BJ46,BK46,BL46),2)</f>
        <v>00</v>
      </c>
      <c r="BF47" s="124"/>
      <c r="BG47" s="124"/>
      <c r="BH47" s="124"/>
      <c r="BI47" s="124"/>
      <c r="BJ47" s="124"/>
      <c r="BK47" s="124"/>
      <c r="BL47" s="125"/>
      <c r="BM47" s="123" t="str">
        <f>BIN2HEX(CONCATENATE(BM46,BN46,BO46,BP46,BQ46,BR46,BS46,BT46),2)</f>
        <v>00</v>
      </c>
      <c r="BN47" s="124"/>
      <c r="BO47" s="124"/>
      <c r="BP47" s="124"/>
      <c r="BQ47" s="124"/>
      <c r="BR47" s="124"/>
      <c r="BS47" s="124"/>
      <c r="BT47" s="125"/>
      <c r="BU47" s="123" t="str">
        <f>BIN2HEX(CONCATENATE(BU46,BV46,BW46,BX46,BY46,BZ46,CA46,CB46),2)</f>
        <v>00</v>
      </c>
      <c r="BV47" s="124"/>
      <c r="BW47" s="124"/>
      <c r="BX47" s="124"/>
      <c r="BY47" s="124"/>
      <c r="BZ47" s="124"/>
      <c r="CA47" s="124"/>
      <c r="CB47" s="125"/>
      <c r="CC47" s="123" t="str">
        <f>BIN2HEX(CONCATENATE(CC46,CD46,CE46,CF46,CG46,CH46,CI46,CJ46),2)</f>
        <v>00</v>
      </c>
      <c r="CD47" s="124"/>
      <c r="CE47" s="124"/>
      <c r="CF47" s="124"/>
      <c r="CG47" s="124"/>
      <c r="CH47" s="124"/>
      <c r="CI47" s="124"/>
      <c r="CJ47" s="125"/>
    </row>
    <row r="48" spans="1:88">
      <c r="A48" s="135" t="s">
        <v>20</v>
      </c>
      <c r="B48" s="32">
        <v>0</v>
      </c>
      <c r="C48" s="32">
        <v>0</v>
      </c>
      <c r="D48" s="32">
        <v>0</v>
      </c>
      <c r="E48" s="32">
        <v>0</v>
      </c>
      <c r="F48" s="32">
        <v>0</v>
      </c>
      <c r="G48" s="32">
        <v>0</v>
      </c>
      <c r="H48" s="32">
        <v>0</v>
      </c>
      <c r="I48" s="32">
        <v>0</v>
      </c>
      <c r="J48" s="32">
        <v>0</v>
      </c>
      <c r="K48" s="32">
        <v>0</v>
      </c>
      <c r="L48" s="32">
        <v>0</v>
      </c>
      <c r="M48" s="32">
        <v>0</v>
      </c>
      <c r="N48" s="32">
        <v>0</v>
      </c>
      <c r="O48" s="32">
        <v>0</v>
      </c>
      <c r="P48" s="32">
        <v>0</v>
      </c>
      <c r="Q48" s="32">
        <v>0</v>
      </c>
      <c r="R48" s="32">
        <v>0</v>
      </c>
      <c r="S48" s="32">
        <v>0</v>
      </c>
      <c r="T48" s="32">
        <v>0</v>
      </c>
      <c r="U48" s="32">
        <v>0</v>
      </c>
      <c r="V48" s="32">
        <v>0</v>
      </c>
      <c r="W48" s="32">
        <v>0</v>
      </c>
      <c r="X48" s="32">
        <v>0</v>
      </c>
      <c r="Y48" s="32">
        <v>0</v>
      </c>
      <c r="Z48" s="32">
        <v>0</v>
      </c>
      <c r="AA48" s="32">
        <v>0</v>
      </c>
      <c r="AB48" s="32">
        <v>0</v>
      </c>
      <c r="AC48" s="32">
        <v>0</v>
      </c>
      <c r="AD48" s="32">
        <v>0</v>
      </c>
      <c r="AE48" s="32">
        <v>0</v>
      </c>
      <c r="AF48" s="32">
        <v>0</v>
      </c>
      <c r="AG48" s="32">
        <v>0</v>
      </c>
      <c r="AH48" s="32">
        <v>0</v>
      </c>
      <c r="AI48" s="32">
        <v>0</v>
      </c>
      <c r="AJ48" s="32">
        <v>0</v>
      </c>
      <c r="AK48" s="32">
        <v>0</v>
      </c>
      <c r="AL48" s="32">
        <v>0</v>
      </c>
      <c r="AM48" s="32">
        <v>0</v>
      </c>
      <c r="AN48" s="32">
        <v>0</v>
      </c>
      <c r="AO48" s="32">
        <v>0</v>
      </c>
      <c r="AP48" s="32">
        <v>0</v>
      </c>
      <c r="AQ48" s="32">
        <v>0</v>
      </c>
      <c r="AR48" s="32">
        <v>0</v>
      </c>
      <c r="AS48" s="32">
        <v>0</v>
      </c>
      <c r="AT48" s="32">
        <v>0</v>
      </c>
      <c r="AU48" s="32">
        <v>0</v>
      </c>
      <c r="AV48" s="32">
        <v>0</v>
      </c>
      <c r="AW48" s="32">
        <v>0</v>
      </c>
      <c r="AX48" s="32">
        <v>0</v>
      </c>
      <c r="AY48" s="32">
        <v>0</v>
      </c>
      <c r="AZ48" s="32">
        <v>0</v>
      </c>
      <c r="BA48" s="32">
        <v>0</v>
      </c>
      <c r="BB48" s="32">
        <v>0</v>
      </c>
      <c r="BC48" s="32">
        <v>0</v>
      </c>
      <c r="BD48" s="32">
        <v>0</v>
      </c>
      <c r="BE48" s="32">
        <v>0</v>
      </c>
      <c r="BF48" s="32">
        <v>0</v>
      </c>
      <c r="BG48" s="32">
        <v>0</v>
      </c>
      <c r="BH48" s="32">
        <v>0</v>
      </c>
      <c r="BI48" s="32">
        <v>0</v>
      </c>
      <c r="BJ48" s="32">
        <v>0</v>
      </c>
      <c r="BK48" s="32">
        <v>0</v>
      </c>
      <c r="BL48" s="32">
        <v>0</v>
      </c>
      <c r="BM48" s="32">
        <v>0</v>
      </c>
      <c r="BN48" s="32">
        <v>0</v>
      </c>
      <c r="BO48" s="32">
        <v>0</v>
      </c>
      <c r="BP48" s="32">
        <v>0</v>
      </c>
      <c r="BQ48" s="32">
        <v>0</v>
      </c>
      <c r="BR48" s="32">
        <v>0</v>
      </c>
      <c r="BS48" s="32">
        <v>0</v>
      </c>
      <c r="BT48" s="32">
        <v>0</v>
      </c>
      <c r="BU48" s="32">
        <v>0</v>
      </c>
      <c r="BV48" s="32">
        <v>0</v>
      </c>
      <c r="BW48" s="32">
        <v>0</v>
      </c>
      <c r="BX48" s="32">
        <v>0</v>
      </c>
      <c r="BY48" s="32">
        <v>0</v>
      </c>
      <c r="BZ48" s="32">
        <v>0</v>
      </c>
      <c r="CA48" s="32">
        <v>0</v>
      </c>
      <c r="CB48" s="32">
        <v>0</v>
      </c>
      <c r="CC48" s="32">
        <v>0</v>
      </c>
      <c r="CD48" s="32">
        <v>0</v>
      </c>
      <c r="CE48" s="32">
        <v>0</v>
      </c>
      <c r="CF48" s="32">
        <v>0</v>
      </c>
      <c r="CG48" s="32">
        <v>0</v>
      </c>
      <c r="CH48" s="32">
        <v>0</v>
      </c>
      <c r="CI48" s="32">
        <v>0</v>
      </c>
      <c r="CJ48" s="32">
        <v>0</v>
      </c>
    </row>
    <row r="49" spans="1:88" hidden="1">
      <c r="A49" s="136"/>
      <c r="B49" s="39" t="str">
        <f ca="1">DEC2HEX(B48,INDIRECT("'parameters recipe'!$C"&amp;B$27))</f>
        <v>0</v>
      </c>
      <c r="C49" s="39" t="e">
        <f t="shared" ref="C49:L49" ca="1" si="31">DEC2HEX(C48,INDIRECT("'parameters recipe'!$C"&amp;C$27))</f>
        <v>#NUM!</v>
      </c>
      <c r="D49" s="39" t="str">
        <f t="shared" ca="1" si="31"/>
        <v>0</v>
      </c>
      <c r="E49" s="39" t="e">
        <f t="shared" ca="1" si="31"/>
        <v>#NUM!</v>
      </c>
      <c r="F49" s="39" t="str">
        <f t="shared" ca="1" si="31"/>
        <v>0</v>
      </c>
      <c r="G49" s="39" t="e">
        <f t="shared" ca="1" si="31"/>
        <v>#NUM!</v>
      </c>
      <c r="H49" s="39" t="str">
        <f t="shared" ca="1" si="31"/>
        <v>0</v>
      </c>
      <c r="I49" s="39" t="e">
        <f t="shared" ca="1" si="31"/>
        <v>#NUM!</v>
      </c>
      <c r="J49" s="39" t="str">
        <f t="shared" ca="1" si="31"/>
        <v>0</v>
      </c>
      <c r="K49" s="39" t="e">
        <f t="shared" ca="1" si="31"/>
        <v>#NUM!</v>
      </c>
      <c r="L49" s="39" t="str">
        <f t="shared" ca="1" si="31"/>
        <v>0</v>
      </c>
      <c r="M49" s="123" t="str">
        <f>BIN2HEX(CONCATENATE(M48,N48,O48,P48,Q48,R48,S48,T48),2)</f>
        <v>00</v>
      </c>
      <c r="N49" s="124"/>
      <c r="O49" s="124"/>
      <c r="P49" s="124"/>
      <c r="Q49" s="124"/>
      <c r="R49" s="124"/>
      <c r="S49" s="124"/>
      <c r="T49" s="125"/>
      <c r="U49" s="39" t="e">
        <f t="shared" ref="U49:X49" ca="1" si="32">DEC2HEX(U48,INDIRECT("'parameters recipe'!$C"&amp;U$27))</f>
        <v>#NUM!</v>
      </c>
      <c r="V49" s="39" t="e">
        <f t="shared" ca="1" si="32"/>
        <v>#NUM!</v>
      </c>
      <c r="W49" s="39" t="e">
        <f t="shared" ca="1" si="32"/>
        <v>#NUM!</v>
      </c>
      <c r="X49" s="39" t="e">
        <f t="shared" ca="1" si="32"/>
        <v>#NUM!</v>
      </c>
      <c r="Y49" s="123" t="str">
        <f>BIN2HEX(CONCATENATE(Y48,Z48,AA48,AB48,AC48,AD48,AE48,AF48),2)</f>
        <v>00</v>
      </c>
      <c r="Z49" s="124"/>
      <c r="AA49" s="124"/>
      <c r="AB49" s="124"/>
      <c r="AC49" s="124"/>
      <c r="AD49" s="124"/>
      <c r="AE49" s="124"/>
      <c r="AF49" s="125"/>
      <c r="AG49" s="123" t="str">
        <f>BIN2HEX(CONCATENATE(AG48,AH48,AI48,AJ48,AK48,AL48,AM48,AN48),2)</f>
        <v>00</v>
      </c>
      <c r="AH49" s="124"/>
      <c r="AI49" s="124"/>
      <c r="AJ49" s="124"/>
      <c r="AK49" s="124"/>
      <c r="AL49" s="124"/>
      <c r="AM49" s="124"/>
      <c r="AN49" s="125"/>
      <c r="AO49" s="123" t="str">
        <f>BIN2HEX(CONCATENATE(AO48,AP48,AQ48,AR48,AS48,AT48,AU48,AV48),2)</f>
        <v>00</v>
      </c>
      <c r="AP49" s="124"/>
      <c r="AQ49" s="124"/>
      <c r="AR49" s="124"/>
      <c r="AS49" s="124"/>
      <c r="AT49" s="124"/>
      <c r="AU49" s="124"/>
      <c r="AV49" s="125"/>
      <c r="AW49" s="123" t="str">
        <f>BIN2HEX(CONCATENATE(AW48,AX48,AY48,AZ48,BA48,BB48,BC48,BD48),2)</f>
        <v>00</v>
      </c>
      <c r="AX49" s="124"/>
      <c r="AY49" s="124"/>
      <c r="AZ49" s="124"/>
      <c r="BA49" s="124"/>
      <c r="BB49" s="124"/>
      <c r="BC49" s="124"/>
      <c r="BD49" s="125"/>
      <c r="BE49" s="123" t="str">
        <f>BIN2HEX(CONCATENATE(BE48,BF48,BG48,BH48,BI48,BJ48,BK48,BL48),2)</f>
        <v>00</v>
      </c>
      <c r="BF49" s="124"/>
      <c r="BG49" s="124"/>
      <c r="BH49" s="124"/>
      <c r="BI49" s="124"/>
      <c r="BJ49" s="124"/>
      <c r="BK49" s="124"/>
      <c r="BL49" s="125"/>
      <c r="BM49" s="123" t="str">
        <f>BIN2HEX(CONCATENATE(BM48,BN48,BO48,BP48,BQ48,BR48,BS48,BT48),2)</f>
        <v>00</v>
      </c>
      <c r="BN49" s="124"/>
      <c r="BO49" s="124"/>
      <c r="BP49" s="124"/>
      <c r="BQ49" s="124"/>
      <c r="BR49" s="124"/>
      <c r="BS49" s="124"/>
      <c r="BT49" s="125"/>
      <c r="BU49" s="123" t="str">
        <f>BIN2HEX(CONCATENATE(BU48,BV48,BW48,BX48,BY48,BZ48,CA48,CB48),2)</f>
        <v>00</v>
      </c>
      <c r="BV49" s="124"/>
      <c r="BW49" s="124"/>
      <c r="BX49" s="124"/>
      <c r="BY49" s="124"/>
      <c r="BZ49" s="124"/>
      <c r="CA49" s="124"/>
      <c r="CB49" s="125"/>
      <c r="CC49" s="123" t="str">
        <f>BIN2HEX(CONCATENATE(CC48,CD48,CE48,CF48,CG48,CH48,CI48,CJ48),2)</f>
        <v>00</v>
      </c>
      <c r="CD49" s="124"/>
      <c r="CE49" s="124"/>
      <c r="CF49" s="124"/>
      <c r="CG49" s="124"/>
      <c r="CH49" s="124"/>
      <c r="CI49" s="124"/>
      <c r="CJ49" s="125"/>
    </row>
    <row r="50" spans="1:88">
      <c r="A50" s="135" t="s">
        <v>22</v>
      </c>
      <c r="B50" s="32">
        <v>0</v>
      </c>
      <c r="C50" s="32">
        <v>0</v>
      </c>
      <c r="D50" s="32">
        <v>0</v>
      </c>
      <c r="E50" s="32">
        <v>0</v>
      </c>
      <c r="F50" s="32">
        <v>0</v>
      </c>
      <c r="G50" s="32">
        <v>0</v>
      </c>
      <c r="H50" s="32">
        <v>0</v>
      </c>
      <c r="I50" s="32">
        <v>0</v>
      </c>
      <c r="J50" s="32">
        <v>0</v>
      </c>
      <c r="K50" s="32">
        <v>0</v>
      </c>
      <c r="L50" s="32">
        <v>0</v>
      </c>
      <c r="M50" s="32">
        <v>0</v>
      </c>
      <c r="N50" s="32">
        <v>0</v>
      </c>
      <c r="O50" s="32">
        <v>0</v>
      </c>
      <c r="P50" s="32">
        <v>0</v>
      </c>
      <c r="Q50" s="32">
        <v>0</v>
      </c>
      <c r="R50" s="32">
        <v>0</v>
      </c>
      <c r="S50" s="32">
        <v>0</v>
      </c>
      <c r="T50" s="32">
        <v>0</v>
      </c>
      <c r="U50" s="32">
        <v>0</v>
      </c>
      <c r="V50" s="32">
        <v>0</v>
      </c>
      <c r="W50" s="32">
        <v>0</v>
      </c>
      <c r="X50" s="32">
        <v>0</v>
      </c>
      <c r="Y50" s="32">
        <v>0</v>
      </c>
      <c r="Z50" s="32">
        <v>0</v>
      </c>
      <c r="AA50" s="32">
        <v>0</v>
      </c>
      <c r="AB50" s="32">
        <v>0</v>
      </c>
      <c r="AC50" s="32">
        <v>0</v>
      </c>
      <c r="AD50" s="32">
        <v>0</v>
      </c>
      <c r="AE50" s="32">
        <v>0</v>
      </c>
      <c r="AF50" s="32">
        <v>0</v>
      </c>
      <c r="AG50" s="32">
        <v>0</v>
      </c>
      <c r="AH50" s="32">
        <v>0</v>
      </c>
      <c r="AI50" s="32">
        <v>0</v>
      </c>
      <c r="AJ50" s="32">
        <v>0</v>
      </c>
      <c r="AK50" s="32">
        <v>0</v>
      </c>
      <c r="AL50" s="32">
        <v>0</v>
      </c>
      <c r="AM50" s="32">
        <v>0</v>
      </c>
      <c r="AN50" s="32">
        <v>0</v>
      </c>
      <c r="AO50" s="32">
        <v>0</v>
      </c>
      <c r="AP50" s="32">
        <v>0</v>
      </c>
      <c r="AQ50" s="32">
        <v>0</v>
      </c>
      <c r="AR50" s="32">
        <v>0</v>
      </c>
      <c r="AS50" s="32">
        <v>0</v>
      </c>
      <c r="AT50" s="32">
        <v>0</v>
      </c>
      <c r="AU50" s="32">
        <v>0</v>
      </c>
      <c r="AV50" s="32">
        <v>0</v>
      </c>
      <c r="AW50" s="32">
        <v>0</v>
      </c>
      <c r="AX50" s="32">
        <v>0</v>
      </c>
      <c r="AY50" s="32">
        <v>0</v>
      </c>
      <c r="AZ50" s="32">
        <v>0</v>
      </c>
      <c r="BA50" s="32">
        <v>0</v>
      </c>
      <c r="BB50" s="32">
        <v>0</v>
      </c>
      <c r="BC50" s="32">
        <v>0</v>
      </c>
      <c r="BD50" s="32">
        <v>0</v>
      </c>
      <c r="BE50" s="32">
        <v>0</v>
      </c>
      <c r="BF50" s="32">
        <v>0</v>
      </c>
      <c r="BG50" s="32">
        <v>0</v>
      </c>
      <c r="BH50" s="32">
        <v>0</v>
      </c>
      <c r="BI50" s="32">
        <v>0</v>
      </c>
      <c r="BJ50" s="32">
        <v>0</v>
      </c>
      <c r="BK50" s="32">
        <v>0</v>
      </c>
      <c r="BL50" s="32">
        <v>0</v>
      </c>
      <c r="BM50" s="32">
        <v>0</v>
      </c>
      <c r="BN50" s="32">
        <v>0</v>
      </c>
      <c r="BO50" s="32">
        <v>0</v>
      </c>
      <c r="BP50" s="32">
        <v>0</v>
      </c>
      <c r="BQ50" s="32">
        <v>0</v>
      </c>
      <c r="BR50" s="32">
        <v>0</v>
      </c>
      <c r="BS50" s="32">
        <v>0</v>
      </c>
      <c r="BT50" s="32">
        <v>0</v>
      </c>
      <c r="BU50" s="32">
        <v>0</v>
      </c>
      <c r="BV50" s="32">
        <v>0</v>
      </c>
      <c r="BW50" s="32">
        <v>0</v>
      </c>
      <c r="BX50" s="32">
        <v>0</v>
      </c>
      <c r="BY50" s="32">
        <v>0</v>
      </c>
      <c r="BZ50" s="32">
        <v>0</v>
      </c>
      <c r="CA50" s="32">
        <v>0</v>
      </c>
      <c r="CB50" s="32">
        <v>0</v>
      </c>
      <c r="CC50" s="32">
        <v>0</v>
      </c>
      <c r="CD50" s="32">
        <v>0</v>
      </c>
      <c r="CE50" s="32">
        <v>0</v>
      </c>
      <c r="CF50" s="32">
        <v>0</v>
      </c>
      <c r="CG50" s="32">
        <v>0</v>
      </c>
      <c r="CH50" s="32">
        <v>0</v>
      </c>
      <c r="CI50" s="32">
        <v>0</v>
      </c>
      <c r="CJ50" s="32">
        <v>0</v>
      </c>
    </row>
    <row r="51" spans="1:88" hidden="1">
      <c r="A51" s="136"/>
      <c r="B51" s="39" t="str">
        <f ca="1">DEC2HEX(B50,INDIRECT("'parameters recipe'!$C"&amp;B$27))</f>
        <v>0</v>
      </c>
      <c r="C51" s="39" t="e">
        <f t="shared" ref="C51:L51" ca="1" si="33">DEC2HEX(C50,INDIRECT("'parameters recipe'!$C"&amp;C$27))</f>
        <v>#NUM!</v>
      </c>
      <c r="D51" s="39" t="str">
        <f t="shared" ca="1" si="33"/>
        <v>0</v>
      </c>
      <c r="E51" s="39" t="e">
        <f t="shared" ca="1" si="33"/>
        <v>#NUM!</v>
      </c>
      <c r="F51" s="39" t="str">
        <f t="shared" ca="1" si="33"/>
        <v>0</v>
      </c>
      <c r="G51" s="39" t="e">
        <f t="shared" ca="1" si="33"/>
        <v>#NUM!</v>
      </c>
      <c r="H51" s="39" t="str">
        <f t="shared" ca="1" si="33"/>
        <v>0</v>
      </c>
      <c r="I51" s="39" t="e">
        <f t="shared" ca="1" si="33"/>
        <v>#NUM!</v>
      </c>
      <c r="J51" s="39" t="str">
        <f t="shared" ca="1" si="33"/>
        <v>0</v>
      </c>
      <c r="K51" s="39" t="e">
        <f t="shared" ca="1" si="33"/>
        <v>#NUM!</v>
      </c>
      <c r="L51" s="39" t="str">
        <f t="shared" ca="1" si="33"/>
        <v>0</v>
      </c>
      <c r="M51" s="123" t="str">
        <f>BIN2HEX(CONCATENATE(M50,N50,O50,P50,Q50,R50,S50,T50),2)</f>
        <v>00</v>
      </c>
      <c r="N51" s="124"/>
      <c r="O51" s="124"/>
      <c r="P51" s="124"/>
      <c r="Q51" s="124"/>
      <c r="R51" s="124"/>
      <c r="S51" s="124"/>
      <c r="T51" s="125"/>
      <c r="U51" s="39" t="e">
        <f t="shared" ref="U51:X51" ca="1" si="34">DEC2HEX(U50,INDIRECT("'parameters recipe'!$C"&amp;U$27))</f>
        <v>#NUM!</v>
      </c>
      <c r="V51" s="39" t="e">
        <f t="shared" ca="1" si="34"/>
        <v>#NUM!</v>
      </c>
      <c r="W51" s="39" t="e">
        <f t="shared" ca="1" si="34"/>
        <v>#NUM!</v>
      </c>
      <c r="X51" s="39" t="e">
        <f t="shared" ca="1" si="34"/>
        <v>#NUM!</v>
      </c>
      <c r="Y51" s="123" t="str">
        <f>BIN2HEX(CONCATENATE(Y50,Z50,AA50,AB50,AC50,AD50,AE50,AF50),2)</f>
        <v>00</v>
      </c>
      <c r="Z51" s="124"/>
      <c r="AA51" s="124"/>
      <c r="AB51" s="124"/>
      <c r="AC51" s="124"/>
      <c r="AD51" s="124"/>
      <c r="AE51" s="124"/>
      <c r="AF51" s="125"/>
      <c r="AG51" s="123" t="str">
        <f>BIN2HEX(CONCATENATE(AG50,AH50,AI50,AJ50,AK50,AL50,AM50,AN50),2)</f>
        <v>00</v>
      </c>
      <c r="AH51" s="124"/>
      <c r="AI51" s="124"/>
      <c r="AJ51" s="124"/>
      <c r="AK51" s="124"/>
      <c r="AL51" s="124"/>
      <c r="AM51" s="124"/>
      <c r="AN51" s="125"/>
      <c r="AO51" s="123" t="str">
        <f>BIN2HEX(CONCATENATE(AO50,AP50,AQ50,AR50,AS50,AT50,AU50,AV50),2)</f>
        <v>00</v>
      </c>
      <c r="AP51" s="124"/>
      <c r="AQ51" s="124"/>
      <c r="AR51" s="124"/>
      <c r="AS51" s="124"/>
      <c r="AT51" s="124"/>
      <c r="AU51" s="124"/>
      <c r="AV51" s="125"/>
      <c r="AW51" s="123" t="str">
        <f>BIN2HEX(CONCATENATE(AW50,AX50,AY50,AZ50,BA50,BB50,BC50,BD50),2)</f>
        <v>00</v>
      </c>
      <c r="AX51" s="124"/>
      <c r="AY51" s="124"/>
      <c r="AZ51" s="124"/>
      <c r="BA51" s="124"/>
      <c r="BB51" s="124"/>
      <c r="BC51" s="124"/>
      <c r="BD51" s="125"/>
      <c r="BE51" s="123" t="str">
        <f>BIN2HEX(CONCATENATE(BE50,BF50,BG50,BH50,BI50,BJ50,BK50,BL50),2)</f>
        <v>00</v>
      </c>
      <c r="BF51" s="124"/>
      <c r="BG51" s="124"/>
      <c r="BH51" s="124"/>
      <c r="BI51" s="124"/>
      <c r="BJ51" s="124"/>
      <c r="BK51" s="124"/>
      <c r="BL51" s="125"/>
      <c r="BM51" s="123" t="str">
        <f>BIN2HEX(CONCATENATE(BM50,BN50,BO50,BP50,BQ50,BR50,BS50,BT50),2)</f>
        <v>00</v>
      </c>
      <c r="BN51" s="124"/>
      <c r="BO51" s="124"/>
      <c r="BP51" s="124"/>
      <c r="BQ51" s="124"/>
      <c r="BR51" s="124"/>
      <c r="BS51" s="124"/>
      <c r="BT51" s="125"/>
      <c r="BU51" s="123" t="str">
        <f>BIN2HEX(CONCATENATE(BU50,BV50,BW50,BX50,BY50,BZ50,CA50,CB50),2)</f>
        <v>00</v>
      </c>
      <c r="BV51" s="124"/>
      <c r="BW51" s="124"/>
      <c r="BX51" s="124"/>
      <c r="BY51" s="124"/>
      <c r="BZ51" s="124"/>
      <c r="CA51" s="124"/>
      <c r="CB51" s="125"/>
      <c r="CC51" s="123" t="str">
        <f>BIN2HEX(CONCATENATE(CC50,CD50,CE50,CF50,CG50,CH50,CI50,CJ50),2)</f>
        <v>00</v>
      </c>
      <c r="CD51" s="124"/>
      <c r="CE51" s="124"/>
      <c r="CF51" s="124"/>
      <c r="CG51" s="124"/>
      <c r="CH51" s="124"/>
      <c r="CI51" s="124"/>
      <c r="CJ51" s="125"/>
    </row>
    <row r="52" spans="1:88">
      <c r="A52" s="135" t="s">
        <v>23</v>
      </c>
      <c r="B52" s="32">
        <v>0</v>
      </c>
      <c r="C52" s="32">
        <v>0</v>
      </c>
      <c r="D52" s="32">
        <v>0</v>
      </c>
      <c r="E52" s="32">
        <v>0</v>
      </c>
      <c r="F52" s="32">
        <v>0</v>
      </c>
      <c r="G52" s="32">
        <v>0</v>
      </c>
      <c r="H52" s="32">
        <v>0</v>
      </c>
      <c r="I52" s="32">
        <v>0</v>
      </c>
      <c r="J52" s="32">
        <v>0</v>
      </c>
      <c r="K52" s="32">
        <v>0</v>
      </c>
      <c r="L52" s="32">
        <v>0</v>
      </c>
      <c r="M52" s="32">
        <v>0</v>
      </c>
      <c r="N52" s="32">
        <v>0</v>
      </c>
      <c r="O52" s="32">
        <v>0</v>
      </c>
      <c r="P52" s="32">
        <v>0</v>
      </c>
      <c r="Q52" s="32">
        <v>0</v>
      </c>
      <c r="R52" s="32">
        <v>0</v>
      </c>
      <c r="S52" s="32">
        <v>0</v>
      </c>
      <c r="T52" s="32">
        <v>0</v>
      </c>
      <c r="U52" s="32">
        <v>0</v>
      </c>
      <c r="V52" s="32">
        <v>0</v>
      </c>
      <c r="W52" s="32">
        <v>0</v>
      </c>
      <c r="X52" s="32">
        <v>0</v>
      </c>
      <c r="Y52" s="32">
        <v>0</v>
      </c>
      <c r="Z52" s="32">
        <v>0</v>
      </c>
      <c r="AA52" s="32">
        <v>0</v>
      </c>
      <c r="AB52" s="32">
        <v>0</v>
      </c>
      <c r="AC52" s="32">
        <v>0</v>
      </c>
      <c r="AD52" s="32">
        <v>0</v>
      </c>
      <c r="AE52" s="32">
        <v>0</v>
      </c>
      <c r="AF52" s="32">
        <v>0</v>
      </c>
      <c r="AG52" s="32">
        <v>0</v>
      </c>
      <c r="AH52" s="32">
        <v>0</v>
      </c>
      <c r="AI52" s="32">
        <v>0</v>
      </c>
      <c r="AJ52" s="32">
        <v>0</v>
      </c>
      <c r="AK52" s="32">
        <v>0</v>
      </c>
      <c r="AL52" s="32">
        <v>0</v>
      </c>
      <c r="AM52" s="32">
        <v>0</v>
      </c>
      <c r="AN52" s="32">
        <v>0</v>
      </c>
      <c r="AO52" s="32">
        <v>0</v>
      </c>
      <c r="AP52" s="32">
        <v>0</v>
      </c>
      <c r="AQ52" s="32">
        <v>0</v>
      </c>
      <c r="AR52" s="32">
        <v>0</v>
      </c>
      <c r="AS52" s="32">
        <v>0</v>
      </c>
      <c r="AT52" s="32">
        <v>0</v>
      </c>
      <c r="AU52" s="32">
        <v>0</v>
      </c>
      <c r="AV52" s="32">
        <v>0</v>
      </c>
      <c r="AW52" s="32">
        <v>0</v>
      </c>
      <c r="AX52" s="32">
        <v>0</v>
      </c>
      <c r="AY52" s="32">
        <v>0</v>
      </c>
      <c r="AZ52" s="32">
        <v>0</v>
      </c>
      <c r="BA52" s="32">
        <v>0</v>
      </c>
      <c r="BB52" s="32">
        <v>0</v>
      </c>
      <c r="BC52" s="32">
        <v>0</v>
      </c>
      <c r="BD52" s="32">
        <v>0</v>
      </c>
      <c r="BE52" s="32">
        <v>0</v>
      </c>
      <c r="BF52" s="32">
        <v>0</v>
      </c>
      <c r="BG52" s="32">
        <v>0</v>
      </c>
      <c r="BH52" s="32">
        <v>0</v>
      </c>
      <c r="BI52" s="32">
        <v>0</v>
      </c>
      <c r="BJ52" s="32">
        <v>0</v>
      </c>
      <c r="BK52" s="32">
        <v>0</v>
      </c>
      <c r="BL52" s="32">
        <v>0</v>
      </c>
      <c r="BM52" s="32">
        <v>0</v>
      </c>
      <c r="BN52" s="32">
        <v>0</v>
      </c>
      <c r="BO52" s="32">
        <v>0</v>
      </c>
      <c r="BP52" s="32">
        <v>0</v>
      </c>
      <c r="BQ52" s="32">
        <v>0</v>
      </c>
      <c r="BR52" s="32">
        <v>0</v>
      </c>
      <c r="BS52" s="32">
        <v>0</v>
      </c>
      <c r="BT52" s="32">
        <v>0</v>
      </c>
      <c r="BU52" s="32">
        <v>0</v>
      </c>
      <c r="BV52" s="32">
        <v>0</v>
      </c>
      <c r="BW52" s="32">
        <v>0</v>
      </c>
      <c r="BX52" s="32">
        <v>0</v>
      </c>
      <c r="BY52" s="32">
        <v>0</v>
      </c>
      <c r="BZ52" s="32">
        <v>0</v>
      </c>
      <c r="CA52" s="32">
        <v>0</v>
      </c>
      <c r="CB52" s="32">
        <v>0</v>
      </c>
      <c r="CC52" s="32">
        <v>0</v>
      </c>
      <c r="CD52" s="32">
        <v>0</v>
      </c>
      <c r="CE52" s="32">
        <v>0</v>
      </c>
      <c r="CF52" s="32">
        <v>0</v>
      </c>
      <c r="CG52" s="32">
        <v>0</v>
      </c>
      <c r="CH52" s="32">
        <v>0</v>
      </c>
      <c r="CI52" s="32">
        <v>0</v>
      </c>
      <c r="CJ52" s="32">
        <v>0</v>
      </c>
    </row>
    <row r="53" spans="1:88" hidden="1">
      <c r="A53" s="136"/>
      <c r="B53" s="39" t="str">
        <f ca="1">DEC2HEX(B52,INDIRECT("'parameters recipe'!$C"&amp;B$27))</f>
        <v>0</v>
      </c>
      <c r="C53" s="39" t="e">
        <f t="shared" ref="C53:L53" ca="1" si="35">DEC2HEX(C52,INDIRECT("'parameters recipe'!$C"&amp;C$27))</f>
        <v>#NUM!</v>
      </c>
      <c r="D53" s="39" t="str">
        <f t="shared" ca="1" si="35"/>
        <v>0</v>
      </c>
      <c r="E53" s="39" t="e">
        <f t="shared" ca="1" si="35"/>
        <v>#NUM!</v>
      </c>
      <c r="F53" s="39" t="str">
        <f t="shared" ca="1" si="35"/>
        <v>0</v>
      </c>
      <c r="G53" s="39" t="e">
        <f t="shared" ca="1" si="35"/>
        <v>#NUM!</v>
      </c>
      <c r="H53" s="39" t="str">
        <f t="shared" ca="1" si="35"/>
        <v>0</v>
      </c>
      <c r="I53" s="39" t="e">
        <f t="shared" ca="1" si="35"/>
        <v>#NUM!</v>
      </c>
      <c r="J53" s="39" t="str">
        <f t="shared" ca="1" si="35"/>
        <v>0</v>
      </c>
      <c r="K53" s="39" t="e">
        <f t="shared" ca="1" si="35"/>
        <v>#NUM!</v>
      </c>
      <c r="L53" s="39" t="str">
        <f t="shared" ca="1" si="35"/>
        <v>0</v>
      </c>
      <c r="M53" s="123" t="str">
        <f>BIN2HEX(CONCATENATE(M52,N52,O52,P52,Q52,R52,S52,T52),2)</f>
        <v>00</v>
      </c>
      <c r="N53" s="124"/>
      <c r="O53" s="124"/>
      <c r="P53" s="124"/>
      <c r="Q53" s="124"/>
      <c r="R53" s="124"/>
      <c r="S53" s="124"/>
      <c r="T53" s="125"/>
      <c r="U53" s="39" t="e">
        <f t="shared" ref="U53:X53" ca="1" si="36">DEC2HEX(U52,INDIRECT("'parameters recipe'!$C"&amp;U$27))</f>
        <v>#NUM!</v>
      </c>
      <c r="V53" s="39" t="e">
        <f t="shared" ca="1" si="36"/>
        <v>#NUM!</v>
      </c>
      <c r="W53" s="39" t="e">
        <f t="shared" ca="1" si="36"/>
        <v>#NUM!</v>
      </c>
      <c r="X53" s="39" t="e">
        <f t="shared" ca="1" si="36"/>
        <v>#NUM!</v>
      </c>
      <c r="Y53" s="123" t="str">
        <f>BIN2HEX(CONCATENATE(Y52,Z52,AA52,AB52,AC52,AD52,AE52,AF52),2)</f>
        <v>00</v>
      </c>
      <c r="Z53" s="124"/>
      <c r="AA53" s="124"/>
      <c r="AB53" s="124"/>
      <c r="AC53" s="124"/>
      <c r="AD53" s="124"/>
      <c r="AE53" s="124"/>
      <c r="AF53" s="125"/>
      <c r="AG53" s="123" t="str">
        <f>BIN2HEX(CONCATENATE(AG52,AH52,AI52,AJ52,AK52,AL52,AM52,AN52),2)</f>
        <v>00</v>
      </c>
      <c r="AH53" s="124"/>
      <c r="AI53" s="124"/>
      <c r="AJ53" s="124"/>
      <c r="AK53" s="124"/>
      <c r="AL53" s="124"/>
      <c r="AM53" s="124"/>
      <c r="AN53" s="125"/>
      <c r="AO53" s="123" t="str">
        <f>BIN2HEX(CONCATENATE(AO52,AP52,AQ52,AR52,AS52,AT52,AU52,AV52),2)</f>
        <v>00</v>
      </c>
      <c r="AP53" s="124"/>
      <c r="AQ53" s="124"/>
      <c r="AR53" s="124"/>
      <c r="AS53" s="124"/>
      <c r="AT53" s="124"/>
      <c r="AU53" s="124"/>
      <c r="AV53" s="125"/>
      <c r="AW53" s="123" t="str">
        <f>BIN2HEX(CONCATENATE(AW52,AX52,AY52,AZ52,BA52,BB52,BC52,BD52),2)</f>
        <v>00</v>
      </c>
      <c r="AX53" s="124"/>
      <c r="AY53" s="124"/>
      <c r="AZ53" s="124"/>
      <c r="BA53" s="124"/>
      <c r="BB53" s="124"/>
      <c r="BC53" s="124"/>
      <c r="BD53" s="125"/>
      <c r="BE53" s="123" t="str">
        <f>BIN2HEX(CONCATENATE(BE52,BF52,BG52,BH52,BI52,BJ52,BK52,BL52),2)</f>
        <v>00</v>
      </c>
      <c r="BF53" s="124"/>
      <c r="BG53" s="124"/>
      <c r="BH53" s="124"/>
      <c r="BI53" s="124"/>
      <c r="BJ53" s="124"/>
      <c r="BK53" s="124"/>
      <c r="BL53" s="125"/>
      <c r="BM53" s="123" t="str">
        <f>BIN2HEX(CONCATENATE(BM52,BN52,BO52,BP52,BQ52,BR52,BS52,BT52),2)</f>
        <v>00</v>
      </c>
      <c r="BN53" s="124"/>
      <c r="BO53" s="124"/>
      <c r="BP53" s="124"/>
      <c r="BQ53" s="124"/>
      <c r="BR53" s="124"/>
      <c r="BS53" s="124"/>
      <c r="BT53" s="125"/>
      <c r="BU53" s="123" t="str">
        <f>BIN2HEX(CONCATENATE(BU52,BV52,BW52,BX52,BY52,BZ52,CA52,CB52),2)</f>
        <v>00</v>
      </c>
      <c r="BV53" s="124"/>
      <c r="BW53" s="124"/>
      <c r="BX53" s="124"/>
      <c r="BY53" s="124"/>
      <c r="BZ53" s="124"/>
      <c r="CA53" s="124"/>
      <c r="CB53" s="125"/>
      <c r="CC53" s="123" t="str">
        <f>BIN2HEX(CONCATENATE(CC52,CD52,CE52,CF52,CG52,CH52,CI52,CJ52),2)</f>
        <v>00</v>
      </c>
      <c r="CD53" s="124"/>
      <c r="CE53" s="124"/>
      <c r="CF53" s="124"/>
      <c r="CG53" s="124"/>
      <c r="CH53" s="124"/>
      <c r="CI53" s="124"/>
      <c r="CJ53" s="125"/>
    </row>
    <row r="54" spans="1:88">
      <c r="A54" s="135" t="s">
        <v>24</v>
      </c>
      <c r="B54" s="32">
        <v>0</v>
      </c>
      <c r="C54" s="32">
        <v>0</v>
      </c>
      <c r="D54" s="32">
        <v>0</v>
      </c>
      <c r="E54" s="32">
        <v>0</v>
      </c>
      <c r="F54" s="32">
        <v>0</v>
      </c>
      <c r="G54" s="32">
        <v>0</v>
      </c>
      <c r="H54" s="32">
        <v>0</v>
      </c>
      <c r="I54" s="32">
        <v>0</v>
      </c>
      <c r="J54" s="32">
        <v>0</v>
      </c>
      <c r="K54" s="32">
        <v>0</v>
      </c>
      <c r="L54" s="32">
        <v>0</v>
      </c>
      <c r="M54" s="32">
        <v>0</v>
      </c>
      <c r="N54" s="32">
        <v>0</v>
      </c>
      <c r="O54" s="32">
        <v>0</v>
      </c>
      <c r="P54" s="32">
        <v>0</v>
      </c>
      <c r="Q54" s="32">
        <v>0</v>
      </c>
      <c r="R54" s="32">
        <v>0</v>
      </c>
      <c r="S54" s="32">
        <v>0</v>
      </c>
      <c r="T54" s="32">
        <v>0</v>
      </c>
      <c r="U54" s="32">
        <v>0</v>
      </c>
      <c r="V54" s="32">
        <v>0</v>
      </c>
      <c r="W54" s="32">
        <v>0</v>
      </c>
      <c r="X54" s="32">
        <v>0</v>
      </c>
      <c r="Y54" s="32">
        <v>0</v>
      </c>
      <c r="Z54" s="32">
        <v>0</v>
      </c>
      <c r="AA54" s="32">
        <v>0</v>
      </c>
      <c r="AB54" s="32">
        <v>0</v>
      </c>
      <c r="AC54" s="32">
        <v>0</v>
      </c>
      <c r="AD54" s="32">
        <v>0</v>
      </c>
      <c r="AE54" s="32">
        <v>0</v>
      </c>
      <c r="AF54" s="32">
        <v>0</v>
      </c>
      <c r="AG54" s="32">
        <v>0</v>
      </c>
      <c r="AH54" s="32">
        <v>0</v>
      </c>
      <c r="AI54" s="32">
        <v>0</v>
      </c>
      <c r="AJ54" s="32">
        <v>0</v>
      </c>
      <c r="AK54" s="32">
        <v>0</v>
      </c>
      <c r="AL54" s="32">
        <v>0</v>
      </c>
      <c r="AM54" s="32">
        <v>0</v>
      </c>
      <c r="AN54" s="32">
        <v>0</v>
      </c>
      <c r="AO54" s="32">
        <v>0</v>
      </c>
      <c r="AP54" s="32">
        <v>0</v>
      </c>
      <c r="AQ54" s="32">
        <v>0</v>
      </c>
      <c r="AR54" s="32">
        <v>0</v>
      </c>
      <c r="AS54" s="32">
        <v>0</v>
      </c>
      <c r="AT54" s="32">
        <v>0</v>
      </c>
      <c r="AU54" s="32">
        <v>0</v>
      </c>
      <c r="AV54" s="32">
        <v>0</v>
      </c>
      <c r="AW54" s="32">
        <v>0</v>
      </c>
      <c r="AX54" s="32">
        <v>0</v>
      </c>
      <c r="AY54" s="32">
        <v>0</v>
      </c>
      <c r="AZ54" s="32">
        <v>0</v>
      </c>
      <c r="BA54" s="32">
        <v>0</v>
      </c>
      <c r="BB54" s="32">
        <v>0</v>
      </c>
      <c r="BC54" s="32">
        <v>0</v>
      </c>
      <c r="BD54" s="32">
        <v>0</v>
      </c>
      <c r="BE54" s="32">
        <v>0</v>
      </c>
      <c r="BF54" s="32">
        <v>0</v>
      </c>
      <c r="BG54" s="32">
        <v>0</v>
      </c>
      <c r="BH54" s="32">
        <v>0</v>
      </c>
      <c r="BI54" s="32">
        <v>0</v>
      </c>
      <c r="BJ54" s="32">
        <v>0</v>
      </c>
      <c r="BK54" s="32">
        <v>0</v>
      </c>
      <c r="BL54" s="32">
        <v>0</v>
      </c>
      <c r="BM54" s="32">
        <v>0</v>
      </c>
      <c r="BN54" s="32">
        <v>0</v>
      </c>
      <c r="BO54" s="32">
        <v>0</v>
      </c>
      <c r="BP54" s="32">
        <v>0</v>
      </c>
      <c r="BQ54" s="32">
        <v>0</v>
      </c>
      <c r="BR54" s="32">
        <v>0</v>
      </c>
      <c r="BS54" s="32">
        <v>0</v>
      </c>
      <c r="BT54" s="32">
        <v>0</v>
      </c>
      <c r="BU54" s="32">
        <v>0</v>
      </c>
      <c r="BV54" s="32">
        <v>0</v>
      </c>
      <c r="BW54" s="32">
        <v>0</v>
      </c>
      <c r="BX54" s="32">
        <v>0</v>
      </c>
      <c r="BY54" s="32">
        <v>0</v>
      </c>
      <c r="BZ54" s="32">
        <v>0</v>
      </c>
      <c r="CA54" s="32">
        <v>0</v>
      </c>
      <c r="CB54" s="32">
        <v>0</v>
      </c>
      <c r="CC54" s="32">
        <v>0</v>
      </c>
      <c r="CD54" s="32">
        <v>0</v>
      </c>
      <c r="CE54" s="32">
        <v>0</v>
      </c>
      <c r="CF54" s="32">
        <v>0</v>
      </c>
      <c r="CG54" s="32">
        <v>0</v>
      </c>
      <c r="CH54" s="32">
        <v>0</v>
      </c>
      <c r="CI54" s="32">
        <v>0</v>
      </c>
      <c r="CJ54" s="32">
        <v>0</v>
      </c>
    </row>
    <row r="55" spans="1:88" hidden="1">
      <c r="A55" s="136"/>
      <c r="B55" s="39" t="str">
        <f ca="1">DEC2HEX(B54,INDIRECT("'parameters recipe'!$C"&amp;B$27))</f>
        <v>0</v>
      </c>
      <c r="C55" s="39" t="e">
        <f t="shared" ref="C55:L55" ca="1" si="37">DEC2HEX(C54,INDIRECT("'parameters recipe'!$C"&amp;C$27))</f>
        <v>#NUM!</v>
      </c>
      <c r="D55" s="39" t="str">
        <f t="shared" ca="1" si="37"/>
        <v>0</v>
      </c>
      <c r="E55" s="39" t="e">
        <f t="shared" ca="1" si="37"/>
        <v>#NUM!</v>
      </c>
      <c r="F55" s="39" t="str">
        <f t="shared" ca="1" si="37"/>
        <v>0</v>
      </c>
      <c r="G55" s="39" t="e">
        <f t="shared" ca="1" si="37"/>
        <v>#NUM!</v>
      </c>
      <c r="H55" s="39" t="str">
        <f t="shared" ca="1" si="37"/>
        <v>0</v>
      </c>
      <c r="I55" s="39" t="e">
        <f t="shared" ca="1" si="37"/>
        <v>#NUM!</v>
      </c>
      <c r="J55" s="39" t="str">
        <f t="shared" ca="1" si="37"/>
        <v>0</v>
      </c>
      <c r="K55" s="39" t="e">
        <f t="shared" ca="1" si="37"/>
        <v>#NUM!</v>
      </c>
      <c r="L55" s="39" t="str">
        <f t="shared" ca="1" si="37"/>
        <v>0</v>
      </c>
      <c r="M55" s="123" t="str">
        <f>BIN2HEX(CONCATENATE(M54,N54,O54,P54,Q54,R54,S54,T54),2)</f>
        <v>00</v>
      </c>
      <c r="N55" s="124"/>
      <c r="O55" s="124"/>
      <c r="P55" s="124"/>
      <c r="Q55" s="124"/>
      <c r="R55" s="124"/>
      <c r="S55" s="124"/>
      <c r="T55" s="125"/>
      <c r="U55" s="39" t="e">
        <f t="shared" ref="U55:X55" ca="1" si="38">DEC2HEX(U54,INDIRECT("'parameters recipe'!$C"&amp;U$27))</f>
        <v>#NUM!</v>
      </c>
      <c r="V55" s="39" t="e">
        <f t="shared" ca="1" si="38"/>
        <v>#NUM!</v>
      </c>
      <c r="W55" s="39" t="e">
        <f t="shared" ca="1" si="38"/>
        <v>#NUM!</v>
      </c>
      <c r="X55" s="39" t="e">
        <f t="shared" ca="1" si="38"/>
        <v>#NUM!</v>
      </c>
      <c r="Y55" s="123" t="str">
        <f>BIN2HEX(CONCATENATE(Y54,Z54,AA54,AB54,AC54,AD54,AE54,AF54),2)</f>
        <v>00</v>
      </c>
      <c r="Z55" s="124"/>
      <c r="AA55" s="124"/>
      <c r="AB55" s="124"/>
      <c r="AC55" s="124"/>
      <c r="AD55" s="124"/>
      <c r="AE55" s="124"/>
      <c r="AF55" s="125"/>
      <c r="AG55" s="123" t="str">
        <f>BIN2HEX(CONCATENATE(AG54,AH54,AI54,AJ54,AK54,AL54,AM54,AN54),2)</f>
        <v>00</v>
      </c>
      <c r="AH55" s="124"/>
      <c r="AI55" s="124"/>
      <c r="AJ55" s="124"/>
      <c r="AK55" s="124"/>
      <c r="AL55" s="124"/>
      <c r="AM55" s="124"/>
      <c r="AN55" s="125"/>
      <c r="AO55" s="123" t="str">
        <f>BIN2HEX(CONCATENATE(AO54,AP54,AQ54,AR54,AS54,AT54,AU54,AV54),2)</f>
        <v>00</v>
      </c>
      <c r="AP55" s="124"/>
      <c r="AQ55" s="124"/>
      <c r="AR55" s="124"/>
      <c r="AS55" s="124"/>
      <c r="AT55" s="124"/>
      <c r="AU55" s="124"/>
      <c r="AV55" s="125"/>
      <c r="AW55" s="123" t="str">
        <f>BIN2HEX(CONCATENATE(AW54,AX54,AY54,AZ54,BA54,BB54,BC54,BD54),2)</f>
        <v>00</v>
      </c>
      <c r="AX55" s="124"/>
      <c r="AY55" s="124"/>
      <c r="AZ55" s="124"/>
      <c r="BA55" s="124"/>
      <c r="BB55" s="124"/>
      <c r="BC55" s="124"/>
      <c r="BD55" s="125"/>
      <c r="BE55" s="123" t="str">
        <f>BIN2HEX(CONCATENATE(BE54,BF54,BG54,BH54,BI54,BJ54,BK54,BL54),2)</f>
        <v>00</v>
      </c>
      <c r="BF55" s="124"/>
      <c r="BG55" s="124"/>
      <c r="BH55" s="124"/>
      <c r="BI55" s="124"/>
      <c r="BJ55" s="124"/>
      <c r="BK55" s="124"/>
      <c r="BL55" s="125"/>
      <c r="BM55" s="123" t="str">
        <f>BIN2HEX(CONCATENATE(BM54,BN54,BO54,BP54,BQ54,BR54,BS54,BT54),2)</f>
        <v>00</v>
      </c>
      <c r="BN55" s="124"/>
      <c r="BO55" s="124"/>
      <c r="BP55" s="124"/>
      <c r="BQ55" s="124"/>
      <c r="BR55" s="124"/>
      <c r="BS55" s="124"/>
      <c r="BT55" s="125"/>
      <c r="BU55" s="123" t="str">
        <f>BIN2HEX(CONCATENATE(BU54,BV54,BW54,BX54,BY54,BZ54,CA54,CB54),2)</f>
        <v>00</v>
      </c>
      <c r="BV55" s="124"/>
      <c r="BW55" s="124"/>
      <c r="BX55" s="124"/>
      <c r="BY55" s="124"/>
      <c r="BZ55" s="124"/>
      <c r="CA55" s="124"/>
      <c r="CB55" s="125"/>
      <c r="CC55" s="123" t="str">
        <f>BIN2HEX(CONCATENATE(CC54,CD54,CE54,CF54,CG54,CH54,CI54,CJ54),2)</f>
        <v>00</v>
      </c>
      <c r="CD55" s="124"/>
      <c r="CE55" s="124"/>
      <c r="CF55" s="124"/>
      <c r="CG55" s="124"/>
      <c r="CH55" s="124"/>
      <c r="CI55" s="124"/>
      <c r="CJ55" s="125"/>
    </row>
    <row r="56" spans="1:88">
      <c r="A56" s="135" t="s">
        <v>25</v>
      </c>
      <c r="B56" s="32">
        <v>0</v>
      </c>
      <c r="C56" s="32">
        <v>0</v>
      </c>
      <c r="D56" s="32">
        <v>0</v>
      </c>
      <c r="E56" s="32">
        <v>0</v>
      </c>
      <c r="F56" s="32">
        <v>0</v>
      </c>
      <c r="G56" s="32">
        <v>0</v>
      </c>
      <c r="H56" s="32">
        <v>0</v>
      </c>
      <c r="I56" s="32">
        <v>0</v>
      </c>
      <c r="J56" s="32">
        <v>0</v>
      </c>
      <c r="K56" s="32">
        <v>0</v>
      </c>
      <c r="L56" s="32">
        <v>0</v>
      </c>
      <c r="M56" s="32">
        <v>0</v>
      </c>
      <c r="N56" s="32">
        <v>0</v>
      </c>
      <c r="O56" s="32">
        <v>0</v>
      </c>
      <c r="P56" s="32">
        <v>0</v>
      </c>
      <c r="Q56" s="32">
        <v>0</v>
      </c>
      <c r="R56" s="32">
        <v>0</v>
      </c>
      <c r="S56" s="32">
        <v>0</v>
      </c>
      <c r="T56" s="32">
        <v>0</v>
      </c>
      <c r="U56" s="32">
        <v>0</v>
      </c>
      <c r="V56" s="32">
        <v>0</v>
      </c>
      <c r="W56" s="32">
        <v>0</v>
      </c>
      <c r="X56" s="32">
        <v>0</v>
      </c>
      <c r="Y56" s="32">
        <v>0</v>
      </c>
      <c r="Z56" s="32">
        <v>0</v>
      </c>
      <c r="AA56" s="32">
        <v>0</v>
      </c>
      <c r="AB56" s="32">
        <v>0</v>
      </c>
      <c r="AC56" s="32">
        <v>0</v>
      </c>
      <c r="AD56" s="32">
        <v>0</v>
      </c>
      <c r="AE56" s="32">
        <v>0</v>
      </c>
      <c r="AF56" s="32">
        <v>0</v>
      </c>
      <c r="AG56" s="32">
        <v>0</v>
      </c>
      <c r="AH56" s="32">
        <v>0</v>
      </c>
      <c r="AI56" s="32">
        <v>0</v>
      </c>
      <c r="AJ56" s="32">
        <v>0</v>
      </c>
      <c r="AK56" s="32">
        <v>0</v>
      </c>
      <c r="AL56" s="32">
        <v>0</v>
      </c>
      <c r="AM56" s="32">
        <v>0</v>
      </c>
      <c r="AN56" s="32">
        <v>0</v>
      </c>
      <c r="AO56" s="32">
        <v>0</v>
      </c>
      <c r="AP56" s="32">
        <v>0</v>
      </c>
      <c r="AQ56" s="32">
        <v>0</v>
      </c>
      <c r="AR56" s="32">
        <v>0</v>
      </c>
      <c r="AS56" s="32">
        <v>0</v>
      </c>
      <c r="AT56" s="32">
        <v>0</v>
      </c>
      <c r="AU56" s="32">
        <v>0</v>
      </c>
      <c r="AV56" s="32">
        <v>0</v>
      </c>
      <c r="AW56" s="32">
        <v>0</v>
      </c>
      <c r="AX56" s="32">
        <v>0</v>
      </c>
      <c r="AY56" s="32">
        <v>0</v>
      </c>
      <c r="AZ56" s="32">
        <v>0</v>
      </c>
      <c r="BA56" s="32">
        <v>0</v>
      </c>
      <c r="BB56" s="32">
        <v>0</v>
      </c>
      <c r="BC56" s="32">
        <v>0</v>
      </c>
      <c r="BD56" s="32">
        <v>0</v>
      </c>
      <c r="BE56" s="32">
        <v>0</v>
      </c>
      <c r="BF56" s="32">
        <v>0</v>
      </c>
      <c r="BG56" s="32">
        <v>0</v>
      </c>
      <c r="BH56" s="32">
        <v>0</v>
      </c>
      <c r="BI56" s="32">
        <v>0</v>
      </c>
      <c r="BJ56" s="32">
        <v>0</v>
      </c>
      <c r="BK56" s="32">
        <v>0</v>
      </c>
      <c r="BL56" s="32">
        <v>0</v>
      </c>
      <c r="BM56" s="32">
        <v>0</v>
      </c>
      <c r="BN56" s="32">
        <v>0</v>
      </c>
      <c r="BO56" s="32">
        <v>0</v>
      </c>
      <c r="BP56" s="32">
        <v>0</v>
      </c>
      <c r="BQ56" s="32">
        <v>0</v>
      </c>
      <c r="BR56" s="32">
        <v>0</v>
      </c>
      <c r="BS56" s="32">
        <v>0</v>
      </c>
      <c r="BT56" s="32">
        <v>0</v>
      </c>
      <c r="BU56" s="32">
        <v>0</v>
      </c>
      <c r="BV56" s="32">
        <v>0</v>
      </c>
      <c r="BW56" s="32">
        <v>0</v>
      </c>
      <c r="BX56" s="32">
        <v>0</v>
      </c>
      <c r="BY56" s="32">
        <v>0</v>
      </c>
      <c r="BZ56" s="32">
        <v>0</v>
      </c>
      <c r="CA56" s="32">
        <v>0</v>
      </c>
      <c r="CB56" s="32">
        <v>0</v>
      </c>
      <c r="CC56" s="32">
        <v>0</v>
      </c>
      <c r="CD56" s="32">
        <v>0</v>
      </c>
      <c r="CE56" s="32">
        <v>0</v>
      </c>
      <c r="CF56" s="32">
        <v>0</v>
      </c>
      <c r="CG56" s="32">
        <v>0</v>
      </c>
      <c r="CH56" s="32">
        <v>0</v>
      </c>
      <c r="CI56" s="32">
        <v>0</v>
      </c>
      <c r="CJ56" s="32">
        <v>0</v>
      </c>
    </row>
    <row r="57" spans="1:88" hidden="1">
      <c r="A57" s="136"/>
      <c r="B57" s="39" t="str">
        <f ca="1">DEC2HEX(B56,INDIRECT("'parameters recipe'!$C"&amp;B$27))</f>
        <v>0</v>
      </c>
      <c r="C57" s="39" t="e">
        <f t="shared" ref="C57:L57" ca="1" si="39">DEC2HEX(C56,INDIRECT("'parameters recipe'!$C"&amp;C$27))</f>
        <v>#NUM!</v>
      </c>
      <c r="D57" s="39" t="str">
        <f t="shared" ca="1" si="39"/>
        <v>0</v>
      </c>
      <c r="E57" s="39" t="e">
        <f t="shared" ca="1" si="39"/>
        <v>#NUM!</v>
      </c>
      <c r="F57" s="39" t="str">
        <f t="shared" ca="1" si="39"/>
        <v>0</v>
      </c>
      <c r="G57" s="39" t="e">
        <f t="shared" ca="1" si="39"/>
        <v>#NUM!</v>
      </c>
      <c r="H57" s="39" t="str">
        <f t="shared" ca="1" si="39"/>
        <v>0</v>
      </c>
      <c r="I57" s="39" t="e">
        <f t="shared" ca="1" si="39"/>
        <v>#NUM!</v>
      </c>
      <c r="J57" s="39" t="str">
        <f t="shared" ca="1" si="39"/>
        <v>0</v>
      </c>
      <c r="K57" s="39" t="e">
        <f t="shared" ca="1" si="39"/>
        <v>#NUM!</v>
      </c>
      <c r="L57" s="39" t="str">
        <f t="shared" ca="1" si="39"/>
        <v>0</v>
      </c>
      <c r="M57" s="123" t="str">
        <f>BIN2HEX(CONCATENATE(M56,N56,O56,P56,Q56,R56,S56,T56),2)</f>
        <v>00</v>
      </c>
      <c r="N57" s="124"/>
      <c r="O57" s="124"/>
      <c r="P57" s="124"/>
      <c r="Q57" s="124"/>
      <c r="R57" s="124"/>
      <c r="S57" s="124"/>
      <c r="T57" s="125"/>
      <c r="U57" s="39" t="e">
        <f t="shared" ref="U57:X57" ca="1" si="40">DEC2HEX(U56,INDIRECT("'parameters recipe'!$C"&amp;U$27))</f>
        <v>#NUM!</v>
      </c>
      <c r="V57" s="39" t="e">
        <f t="shared" ca="1" si="40"/>
        <v>#NUM!</v>
      </c>
      <c r="W57" s="39" t="e">
        <f t="shared" ca="1" si="40"/>
        <v>#NUM!</v>
      </c>
      <c r="X57" s="39" t="e">
        <f t="shared" ca="1" si="40"/>
        <v>#NUM!</v>
      </c>
      <c r="Y57" s="123" t="str">
        <f>BIN2HEX(CONCATENATE(Y56,Z56,AA56,AB56,AC56,AD56,AE56,AF56),2)</f>
        <v>00</v>
      </c>
      <c r="Z57" s="124"/>
      <c r="AA57" s="124"/>
      <c r="AB57" s="124"/>
      <c r="AC57" s="124"/>
      <c r="AD57" s="124"/>
      <c r="AE57" s="124"/>
      <c r="AF57" s="125"/>
      <c r="AG57" s="123" t="str">
        <f>BIN2HEX(CONCATENATE(AG56,AH56,AI56,AJ56,AK56,AL56,AM56,AN56),2)</f>
        <v>00</v>
      </c>
      <c r="AH57" s="124"/>
      <c r="AI57" s="124"/>
      <c r="AJ57" s="124"/>
      <c r="AK57" s="124"/>
      <c r="AL57" s="124"/>
      <c r="AM57" s="124"/>
      <c r="AN57" s="125"/>
      <c r="AO57" s="123" t="str">
        <f>BIN2HEX(CONCATENATE(AO56,AP56,AQ56,AR56,AS56,AT56,AU56,AV56),2)</f>
        <v>00</v>
      </c>
      <c r="AP57" s="124"/>
      <c r="AQ57" s="124"/>
      <c r="AR57" s="124"/>
      <c r="AS57" s="124"/>
      <c r="AT57" s="124"/>
      <c r="AU57" s="124"/>
      <c r="AV57" s="125"/>
      <c r="AW57" s="123" t="str">
        <f>BIN2HEX(CONCATENATE(AW56,AX56,AY56,AZ56,BA56,BB56,BC56,BD56),2)</f>
        <v>00</v>
      </c>
      <c r="AX57" s="124"/>
      <c r="AY57" s="124"/>
      <c r="AZ57" s="124"/>
      <c r="BA57" s="124"/>
      <c r="BB57" s="124"/>
      <c r="BC57" s="124"/>
      <c r="BD57" s="125"/>
      <c r="BE57" s="123" t="str">
        <f>BIN2HEX(CONCATENATE(BE56,BF56,BG56,BH56,BI56,BJ56,BK56,BL56),2)</f>
        <v>00</v>
      </c>
      <c r="BF57" s="124"/>
      <c r="BG57" s="124"/>
      <c r="BH57" s="124"/>
      <c r="BI57" s="124"/>
      <c r="BJ57" s="124"/>
      <c r="BK57" s="124"/>
      <c r="BL57" s="125"/>
      <c r="BM57" s="123" t="str">
        <f>BIN2HEX(CONCATENATE(BM56,BN56,BO56,BP56,BQ56,BR56,BS56,BT56),2)</f>
        <v>00</v>
      </c>
      <c r="BN57" s="124"/>
      <c r="BO57" s="124"/>
      <c r="BP57" s="124"/>
      <c r="BQ57" s="124"/>
      <c r="BR57" s="124"/>
      <c r="BS57" s="124"/>
      <c r="BT57" s="125"/>
      <c r="BU57" s="123" t="str">
        <f>BIN2HEX(CONCATENATE(BU56,BV56,BW56,BX56,BY56,BZ56,CA56,CB56),2)</f>
        <v>00</v>
      </c>
      <c r="BV57" s="124"/>
      <c r="BW57" s="124"/>
      <c r="BX57" s="124"/>
      <c r="BY57" s="124"/>
      <c r="BZ57" s="124"/>
      <c r="CA57" s="124"/>
      <c r="CB57" s="125"/>
      <c r="CC57" s="123" t="str">
        <f>BIN2HEX(CONCATENATE(CC56,CD56,CE56,CF56,CG56,CH56,CI56,CJ56),2)</f>
        <v>00</v>
      </c>
      <c r="CD57" s="124"/>
      <c r="CE57" s="124"/>
      <c r="CF57" s="124"/>
      <c r="CG57" s="124"/>
      <c r="CH57" s="124"/>
      <c r="CI57" s="124"/>
      <c r="CJ57" s="125"/>
    </row>
    <row r="58" spans="1:88">
      <c r="A58" s="135" t="s">
        <v>122</v>
      </c>
      <c r="B58" s="32">
        <v>0</v>
      </c>
      <c r="C58" s="32">
        <v>0</v>
      </c>
      <c r="D58" s="32">
        <v>0</v>
      </c>
      <c r="E58" s="32">
        <v>0</v>
      </c>
      <c r="F58" s="32">
        <v>0</v>
      </c>
      <c r="G58" s="32">
        <v>0</v>
      </c>
      <c r="H58" s="32">
        <v>0</v>
      </c>
      <c r="I58" s="32">
        <v>0</v>
      </c>
      <c r="J58" s="32">
        <v>0</v>
      </c>
      <c r="K58" s="32">
        <v>0</v>
      </c>
      <c r="L58" s="32">
        <v>0</v>
      </c>
      <c r="M58" s="32">
        <v>0</v>
      </c>
      <c r="N58" s="32">
        <v>0</v>
      </c>
      <c r="O58" s="32">
        <v>0</v>
      </c>
      <c r="P58" s="32">
        <v>0</v>
      </c>
      <c r="Q58" s="32">
        <v>0</v>
      </c>
      <c r="R58" s="32">
        <v>0</v>
      </c>
      <c r="S58" s="32">
        <v>0</v>
      </c>
      <c r="T58" s="32">
        <v>0</v>
      </c>
      <c r="U58" s="32">
        <v>0</v>
      </c>
      <c r="V58" s="32">
        <v>0</v>
      </c>
      <c r="W58" s="32">
        <v>0</v>
      </c>
      <c r="X58" s="32">
        <v>0</v>
      </c>
      <c r="Y58" s="32">
        <v>0</v>
      </c>
      <c r="Z58" s="32">
        <v>0</v>
      </c>
      <c r="AA58" s="32">
        <v>0</v>
      </c>
      <c r="AB58" s="32">
        <v>0</v>
      </c>
      <c r="AC58" s="32">
        <v>0</v>
      </c>
      <c r="AD58" s="32">
        <v>0</v>
      </c>
      <c r="AE58" s="32">
        <v>0</v>
      </c>
      <c r="AF58" s="32">
        <v>0</v>
      </c>
      <c r="AG58" s="32">
        <v>0</v>
      </c>
      <c r="AH58" s="32">
        <v>0</v>
      </c>
      <c r="AI58" s="32">
        <v>0</v>
      </c>
      <c r="AJ58" s="32">
        <v>0</v>
      </c>
      <c r="AK58" s="32">
        <v>0</v>
      </c>
      <c r="AL58" s="32">
        <v>0</v>
      </c>
      <c r="AM58" s="32">
        <v>0</v>
      </c>
      <c r="AN58" s="32">
        <v>0</v>
      </c>
      <c r="AO58" s="32">
        <v>0</v>
      </c>
      <c r="AP58" s="32">
        <v>0</v>
      </c>
      <c r="AQ58" s="32">
        <v>0</v>
      </c>
      <c r="AR58" s="32">
        <v>0</v>
      </c>
      <c r="AS58" s="32">
        <v>0</v>
      </c>
      <c r="AT58" s="32">
        <v>0</v>
      </c>
      <c r="AU58" s="32">
        <v>0</v>
      </c>
      <c r="AV58" s="32">
        <v>0</v>
      </c>
      <c r="AW58" s="32">
        <v>0</v>
      </c>
      <c r="AX58" s="32">
        <v>0</v>
      </c>
      <c r="AY58" s="32">
        <v>0</v>
      </c>
      <c r="AZ58" s="32">
        <v>0</v>
      </c>
      <c r="BA58" s="32">
        <v>0</v>
      </c>
      <c r="BB58" s="32">
        <v>0</v>
      </c>
      <c r="BC58" s="32">
        <v>0</v>
      </c>
      <c r="BD58" s="32">
        <v>0</v>
      </c>
      <c r="BE58" s="32">
        <v>0</v>
      </c>
      <c r="BF58" s="32">
        <v>0</v>
      </c>
      <c r="BG58" s="32">
        <v>0</v>
      </c>
      <c r="BH58" s="32">
        <v>0</v>
      </c>
      <c r="BI58" s="32">
        <v>0</v>
      </c>
      <c r="BJ58" s="32">
        <v>0</v>
      </c>
      <c r="BK58" s="32">
        <v>0</v>
      </c>
      <c r="BL58" s="32">
        <v>0</v>
      </c>
      <c r="BM58" s="32">
        <v>0</v>
      </c>
      <c r="BN58" s="32">
        <v>0</v>
      </c>
      <c r="BO58" s="32">
        <v>0</v>
      </c>
      <c r="BP58" s="32">
        <v>0</v>
      </c>
      <c r="BQ58" s="32">
        <v>0</v>
      </c>
      <c r="BR58" s="32">
        <v>0</v>
      </c>
      <c r="BS58" s="32">
        <v>0</v>
      </c>
      <c r="BT58" s="32">
        <v>0</v>
      </c>
      <c r="BU58" s="32">
        <v>0</v>
      </c>
      <c r="BV58" s="32">
        <v>0</v>
      </c>
      <c r="BW58" s="32">
        <v>0</v>
      </c>
      <c r="BX58" s="32">
        <v>0</v>
      </c>
      <c r="BY58" s="32">
        <v>0</v>
      </c>
      <c r="BZ58" s="32">
        <v>0</v>
      </c>
      <c r="CA58" s="32">
        <v>0</v>
      </c>
      <c r="CB58" s="32">
        <v>0</v>
      </c>
      <c r="CC58" s="32">
        <v>0</v>
      </c>
      <c r="CD58" s="32">
        <v>0</v>
      </c>
      <c r="CE58" s="32">
        <v>0</v>
      </c>
      <c r="CF58" s="32">
        <v>0</v>
      </c>
      <c r="CG58" s="32">
        <v>0</v>
      </c>
      <c r="CH58" s="32">
        <v>0</v>
      </c>
      <c r="CI58" s="32">
        <v>0</v>
      </c>
      <c r="CJ58" s="32">
        <v>0</v>
      </c>
    </row>
    <row r="59" spans="1:88" hidden="1">
      <c r="A59" s="136"/>
      <c r="B59" s="39" t="str">
        <f ca="1">DEC2HEX(B58,INDIRECT("'parameters recipe'!$C"&amp;B$27))</f>
        <v>0</v>
      </c>
      <c r="C59" s="39" t="e">
        <f t="shared" ref="C59:L59" ca="1" si="41">DEC2HEX(C58,INDIRECT("'parameters recipe'!$C"&amp;C$27))</f>
        <v>#NUM!</v>
      </c>
      <c r="D59" s="39" t="str">
        <f t="shared" ca="1" si="41"/>
        <v>0</v>
      </c>
      <c r="E59" s="39" t="e">
        <f t="shared" ca="1" si="41"/>
        <v>#NUM!</v>
      </c>
      <c r="F59" s="39" t="str">
        <f t="shared" ca="1" si="41"/>
        <v>0</v>
      </c>
      <c r="G59" s="39" t="e">
        <f t="shared" ca="1" si="41"/>
        <v>#NUM!</v>
      </c>
      <c r="H59" s="39" t="str">
        <f t="shared" ca="1" si="41"/>
        <v>0</v>
      </c>
      <c r="I59" s="39" t="e">
        <f t="shared" ca="1" si="41"/>
        <v>#NUM!</v>
      </c>
      <c r="J59" s="39" t="str">
        <f t="shared" ca="1" si="41"/>
        <v>0</v>
      </c>
      <c r="K59" s="39" t="e">
        <f t="shared" ca="1" si="41"/>
        <v>#NUM!</v>
      </c>
      <c r="L59" s="39" t="str">
        <f t="shared" ca="1" si="41"/>
        <v>0</v>
      </c>
      <c r="M59" s="123" t="str">
        <f>BIN2HEX(CONCATENATE(M58,N58,O58,P58,Q58,R58,S58,T58),2)</f>
        <v>00</v>
      </c>
      <c r="N59" s="124"/>
      <c r="O59" s="124"/>
      <c r="P59" s="124"/>
      <c r="Q59" s="124"/>
      <c r="R59" s="124"/>
      <c r="S59" s="124"/>
      <c r="T59" s="125"/>
      <c r="U59" s="39" t="e">
        <f t="shared" ref="U59:X59" ca="1" si="42">DEC2HEX(U58,INDIRECT("'parameters recipe'!$C"&amp;U$27))</f>
        <v>#NUM!</v>
      </c>
      <c r="V59" s="39" t="e">
        <f t="shared" ca="1" si="42"/>
        <v>#NUM!</v>
      </c>
      <c r="W59" s="39" t="e">
        <f t="shared" ca="1" si="42"/>
        <v>#NUM!</v>
      </c>
      <c r="X59" s="39" t="e">
        <f t="shared" ca="1" si="42"/>
        <v>#NUM!</v>
      </c>
      <c r="Y59" s="123" t="str">
        <f>BIN2HEX(CONCATENATE(Y58,Z58,AA58,AB58,AC58,AD58,AE58,AF58),2)</f>
        <v>00</v>
      </c>
      <c r="Z59" s="124"/>
      <c r="AA59" s="124"/>
      <c r="AB59" s="124"/>
      <c r="AC59" s="124"/>
      <c r="AD59" s="124"/>
      <c r="AE59" s="124"/>
      <c r="AF59" s="125"/>
      <c r="AG59" s="123" t="str">
        <f>BIN2HEX(CONCATENATE(AG58,AH58,AI58,AJ58,AK58,AL58,AM58,AN58),2)</f>
        <v>00</v>
      </c>
      <c r="AH59" s="124"/>
      <c r="AI59" s="124"/>
      <c r="AJ59" s="124"/>
      <c r="AK59" s="124"/>
      <c r="AL59" s="124"/>
      <c r="AM59" s="124"/>
      <c r="AN59" s="125"/>
      <c r="AO59" s="123" t="str">
        <f>BIN2HEX(CONCATENATE(AO58,AP58,AQ58,AR58,AS58,AT58,AU58,AV58),2)</f>
        <v>00</v>
      </c>
      <c r="AP59" s="124"/>
      <c r="AQ59" s="124"/>
      <c r="AR59" s="124"/>
      <c r="AS59" s="124"/>
      <c r="AT59" s="124"/>
      <c r="AU59" s="124"/>
      <c r="AV59" s="125"/>
      <c r="AW59" s="123" t="str">
        <f>BIN2HEX(CONCATENATE(AW58,AX58,AY58,AZ58,BA58,BB58,BC58,BD58),2)</f>
        <v>00</v>
      </c>
      <c r="AX59" s="124"/>
      <c r="AY59" s="124"/>
      <c r="AZ59" s="124"/>
      <c r="BA59" s="124"/>
      <c r="BB59" s="124"/>
      <c r="BC59" s="124"/>
      <c r="BD59" s="125"/>
      <c r="BE59" s="123" t="str">
        <f>BIN2HEX(CONCATENATE(BE58,BF58,BG58,BH58,BI58,BJ58,BK58,BL58),2)</f>
        <v>00</v>
      </c>
      <c r="BF59" s="124"/>
      <c r="BG59" s="124"/>
      <c r="BH59" s="124"/>
      <c r="BI59" s="124"/>
      <c r="BJ59" s="124"/>
      <c r="BK59" s="124"/>
      <c r="BL59" s="125"/>
      <c r="BM59" s="123" t="str">
        <f>BIN2HEX(CONCATENATE(BM58,BN58,BO58,BP58,BQ58,BR58,BS58,BT58),2)</f>
        <v>00</v>
      </c>
      <c r="BN59" s="124"/>
      <c r="BO59" s="124"/>
      <c r="BP59" s="124"/>
      <c r="BQ59" s="124"/>
      <c r="BR59" s="124"/>
      <c r="BS59" s="124"/>
      <c r="BT59" s="125"/>
      <c r="BU59" s="123" t="str">
        <f>BIN2HEX(CONCATENATE(BU58,BV58,BW58,BX58,BY58,BZ58,CA58,CB58),2)</f>
        <v>00</v>
      </c>
      <c r="BV59" s="124"/>
      <c r="BW59" s="124"/>
      <c r="BX59" s="124"/>
      <c r="BY59" s="124"/>
      <c r="BZ59" s="124"/>
      <c r="CA59" s="124"/>
      <c r="CB59" s="125"/>
      <c r="CC59" s="123" t="str">
        <f>BIN2HEX(CONCATENATE(CC58,CD58,CE58,CF58,CG58,CH58,CI58,CJ58),2)</f>
        <v>00</v>
      </c>
      <c r="CD59" s="124"/>
      <c r="CE59" s="124"/>
      <c r="CF59" s="124"/>
      <c r="CG59" s="124"/>
      <c r="CH59" s="124"/>
      <c r="CI59" s="124"/>
      <c r="CJ59" s="125"/>
    </row>
    <row r="62" spans="1:88">
      <c r="A62" s="45"/>
    </row>
  </sheetData>
  <sheetProtection selectLockedCells="1"/>
  <mergeCells count="203">
    <mergeCell ref="B9:J9"/>
    <mergeCell ref="B10:J10"/>
    <mergeCell ref="B11:J11"/>
    <mergeCell ref="B6:J6"/>
    <mergeCell ref="B7:J7"/>
    <mergeCell ref="B8:J8"/>
    <mergeCell ref="B15:J15"/>
    <mergeCell ref="L6:U6"/>
    <mergeCell ref="L7:U7"/>
    <mergeCell ref="L8:U8"/>
    <mergeCell ref="L9:U9"/>
    <mergeCell ref="L10:U10"/>
    <mergeCell ref="L11:U11"/>
    <mergeCell ref="L12:U12"/>
    <mergeCell ref="L13:U13"/>
    <mergeCell ref="L14:U14"/>
    <mergeCell ref="B12:J12"/>
    <mergeCell ref="B13:J13"/>
    <mergeCell ref="B14:J14"/>
    <mergeCell ref="L15:U15"/>
    <mergeCell ref="L17:U17"/>
    <mergeCell ref="L18:U18"/>
    <mergeCell ref="L19:U19"/>
    <mergeCell ref="L20:U20"/>
    <mergeCell ref="L21:U21"/>
    <mergeCell ref="B22:U22"/>
    <mergeCell ref="B18:J18"/>
    <mergeCell ref="B19:J19"/>
    <mergeCell ref="B20:J20"/>
    <mergeCell ref="W24:X24"/>
    <mergeCell ref="Y24:AN24"/>
    <mergeCell ref="AO24:BD24"/>
    <mergeCell ref="BE24:BT24"/>
    <mergeCell ref="B16:J16"/>
    <mergeCell ref="B17:J17"/>
    <mergeCell ref="BU24:CJ24"/>
    <mergeCell ref="A28:A29"/>
    <mergeCell ref="M29:T29"/>
    <mergeCell ref="Y29:AF29"/>
    <mergeCell ref="AG29:AN29"/>
    <mergeCell ref="AO29:AV29"/>
    <mergeCell ref="AW29:BD29"/>
    <mergeCell ref="BE29:BL29"/>
    <mergeCell ref="BM29:BT29"/>
    <mergeCell ref="BU29:CB29"/>
    <mergeCell ref="CC29:CJ29"/>
    <mergeCell ref="K24:L24"/>
    <mergeCell ref="M24:T24"/>
    <mergeCell ref="B21:J21"/>
    <mergeCell ref="B24:E24"/>
    <mergeCell ref="F24:H24"/>
    <mergeCell ref="I24:J24"/>
    <mergeCell ref="L16:U16"/>
    <mergeCell ref="CC31:CJ31"/>
    <mergeCell ref="A32:A33"/>
    <mergeCell ref="M33:T33"/>
    <mergeCell ref="Y33:AF33"/>
    <mergeCell ref="AG33:AN33"/>
    <mergeCell ref="AO33:AV33"/>
    <mergeCell ref="AW33:BD33"/>
    <mergeCell ref="BE33:BL33"/>
    <mergeCell ref="BM33:BT33"/>
    <mergeCell ref="BU33:CB33"/>
    <mergeCell ref="CC33:CJ33"/>
    <mergeCell ref="A30:A31"/>
    <mergeCell ref="M31:T31"/>
    <mergeCell ref="Y31:AF31"/>
    <mergeCell ref="AG31:AN31"/>
    <mergeCell ref="AO31:AV31"/>
    <mergeCell ref="AW31:BD31"/>
    <mergeCell ref="BE31:BL31"/>
    <mergeCell ref="BM31:BT31"/>
    <mergeCell ref="BU31:CB31"/>
    <mergeCell ref="CC35:CJ35"/>
    <mergeCell ref="A36:A37"/>
    <mergeCell ref="M37:T37"/>
    <mergeCell ref="Y37:AF37"/>
    <mergeCell ref="AG37:AN37"/>
    <mergeCell ref="AO37:AV37"/>
    <mergeCell ref="AW37:BD37"/>
    <mergeCell ref="BE37:BL37"/>
    <mergeCell ref="BM37:BT37"/>
    <mergeCell ref="BU37:CB37"/>
    <mergeCell ref="CC37:CJ37"/>
    <mergeCell ref="A34:A35"/>
    <mergeCell ref="M35:T35"/>
    <mergeCell ref="Y35:AF35"/>
    <mergeCell ref="AG35:AN35"/>
    <mergeCell ref="AO35:AV35"/>
    <mergeCell ref="AW35:BD35"/>
    <mergeCell ref="BE35:BL35"/>
    <mergeCell ref="BM35:BT35"/>
    <mergeCell ref="BU35:CB35"/>
    <mergeCell ref="CC39:CJ39"/>
    <mergeCell ref="A40:A41"/>
    <mergeCell ref="M41:T41"/>
    <mergeCell ref="Y41:AF41"/>
    <mergeCell ref="AG41:AN41"/>
    <mergeCell ref="AO41:AV41"/>
    <mergeCell ref="AW41:BD41"/>
    <mergeCell ref="BE41:BL41"/>
    <mergeCell ref="BM41:BT41"/>
    <mergeCell ref="BU41:CB41"/>
    <mergeCell ref="CC41:CJ41"/>
    <mergeCell ref="A38:A39"/>
    <mergeCell ref="M39:T39"/>
    <mergeCell ref="Y39:AF39"/>
    <mergeCell ref="AG39:AN39"/>
    <mergeCell ref="AO39:AV39"/>
    <mergeCell ref="AW39:BD39"/>
    <mergeCell ref="BE39:BL39"/>
    <mergeCell ref="BM39:BT39"/>
    <mergeCell ref="BU39:CB39"/>
    <mergeCell ref="CC43:CJ43"/>
    <mergeCell ref="A44:A45"/>
    <mergeCell ref="M45:T45"/>
    <mergeCell ref="Y45:AF45"/>
    <mergeCell ref="AG45:AN45"/>
    <mergeCell ref="AO45:AV45"/>
    <mergeCell ref="AW45:BD45"/>
    <mergeCell ref="BE45:BL45"/>
    <mergeCell ref="BM45:BT45"/>
    <mergeCell ref="BU45:CB45"/>
    <mergeCell ref="CC45:CJ45"/>
    <mergeCell ref="A42:A43"/>
    <mergeCell ref="M43:T43"/>
    <mergeCell ref="Y43:AF43"/>
    <mergeCell ref="AG43:AN43"/>
    <mergeCell ref="AO43:AV43"/>
    <mergeCell ref="AW43:BD43"/>
    <mergeCell ref="BE43:BL43"/>
    <mergeCell ref="BM43:BT43"/>
    <mergeCell ref="BU43:CB43"/>
    <mergeCell ref="CC47:CJ47"/>
    <mergeCell ref="A48:A49"/>
    <mergeCell ref="M49:T49"/>
    <mergeCell ref="Y49:AF49"/>
    <mergeCell ref="AG49:AN49"/>
    <mergeCell ref="AO49:AV49"/>
    <mergeCell ref="AW49:BD49"/>
    <mergeCell ref="BE49:BL49"/>
    <mergeCell ref="BM49:BT49"/>
    <mergeCell ref="BU49:CB49"/>
    <mergeCell ref="CC49:CJ49"/>
    <mergeCell ref="A46:A47"/>
    <mergeCell ref="M47:T47"/>
    <mergeCell ref="Y47:AF47"/>
    <mergeCell ref="AG47:AN47"/>
    <mergeCell ref="AO47:AV47"/>
    <mergeCell ref="AW47:BD47"/>
    <mergeCell ref="BE47:BL47"/>
    <mergeCell ref="BM47:BT47"/>
    <mergeCell ref="BU47:CB47"/>
    <mergeCell ref="A50:A51"/>
    <mergeCell ref="M51:T51"/>
    <mergeCell ref="Y51:AF51"/>
    <mergeCell ref="AG51:AN51"/>
    <mergeCell ref="AO51:AV51"/>
    <mergeCell ref="AW51:BD51"/>
    <mergeCell ref="BE51:BL51"/>
    <mergeCell ref="BM51:BT51"/>
    <mergeCell ref="BU51:CB51"/>
    <mergeCell ref="CC51:CJ51"/>
    <mergeCell ref="CC59:CJ59"/>
    <mergeCell ref="AW57:BD57"/>
    <mergeCell ref="BE57:BL57"/>
    <mergeCell ref="BM57:BT57"/>
    <mergeCell ref="BU57:CB57"/>
    <mergeCell ref="CC57:CJ57"/>
    <mergeCell ref="A52:A53"/>
    <mergeCell ref="M53:T53"/>
    <mergeCell ref="Y53:AF53"/>
    <mergeCell ref="AG53:AN53"/>
    <mergeCell ref="AO53:AV53"/>
    <mergeCell ref="CC55:CJ55"/>
    <mergeCell ref="A56:A57"/>
    <mergeCell ref="M57:T57"/>
    <mergeCell ref="Y57:AF57"/>
    <mergeCell ref="AG57:AN57"/>
    <mergeCell ref="AO57:AV57"/>
    <mergeCell ref="AW53:BD53"/>
    <mergeCell ref="BE53:BL53"/>
    <mergeCell ref="BM53:BT53"/>
    <mergeCell ref="BU53:CB53"/>
    <mergeCell ref="CC53:CJ53"/>
    <mergeCell ref="A54:A55"/>
    <mergeCell ref="A58:A59"/>
    <mergeCell ref="M59:T59"/>
    <mergeCell ref="Y59:AF59"/>
    <mergeCell ref="AG59:AN59"/>
    <mergeCell ref="AO59:AV59"/>
    <mergeCell ref="BU55:CB55"/>
    <mergeCell ref="AW59:BD59"/>
    <mergeCell ref="BE59:BL59"/>
    <mergeCell ref="BM59:BT59"/>
    <mergeCell ref="BU59:CB59"/>
    <mergeCell ref="M55:T55"/>
    <mergeCell ref="Y55:AF55"/>
    <mergeCell ref="AG55:AN55"/>
    <mergeCell ref="AO55:AV55"/>
    <mergeCell ref="AW55:BD55"/>
    <mergeCell ref="BE55:BL55"/>
    <mergeCell ref="BM55:BT55"/>
  </mergeCells>
  <pageMargins left="0.7" right="0.7" top="0.75" bottom="0.75" header="0.3" footer="0.3"/>
  <pageSetup orientation="portrait" horizontalDpi="200" verticalDpi="200" copies="0" r:id="rId1"/>
  <drawing r:id="rId2"/>
  <legacyDrawing r:id="rId3"/>
  <oleObjects>
    <mc:AlternateContent xmlns:mc="http://schemas.openxmlformats.org/markup-compatibility/2006">
      <mc:Choice Requires="x14">
        <oleObject progId="Visio.Drawing.15" shapeId="22529" r:id="rId4">
          <objectPr defaultSize="0" autoPict="0" r:id="rId5">
            <anchor moveWithCells="1">
              <from>
                <xdr:col>0</xdr:col>
                <xdr:colOff>0</xdr:colOff>
                <xdr:row>60</xdr:row>
                <xdr:rowOff>180975</xdr:rowOff>
              </from>
              <to>
                <xdr:col>7</xdr:col>
                <xdr:colOff>190500</xdr:colOff>
                <xdr:row>98</xdr:row>
                <xdr:rowOff>180975</xdr:rowOff>
              </to>
            </anchor>
          </objectPr>
        </oleObject>
      </mc:Choice>
      <mc:Fallback>
        <oleObject progId="Visio.Drawing.15" shapeId="22529" r:id="rId4"/>
      </mc:Fallback>
    </mc:AlternateContent>
  </oleObjec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078E9-4B4E-4632-8717-6EE53C86B542}">
  <sheetPr codeName="Sheet13"/>
  <dimension ref="A1:BD35"/>
  <sheetViews>
    <sheetView showGridLines="0" zoomScale="115" zoomScaleNormal="115" workbookViewId="0">
      <selection activeCell="B1" sqref="B1"/>
    </sheetView>
  </sheetViews>
  <sheetFormatPr defaultRowHeight="15"/>
  <cols>
    <col min="1" max="1" width="13.85546875" customWidth="1"/>
    <col min="2" max="56" width="6" style="3" customWidth="1"/>
    <col min="57" max="57" width="9" customWidth="1"/>
  </cols>
  <sheetData>
    <row r="1" spans="1:20" s="3" customFormat="1">
      <c r="A1" t="s">
        <v>135</v>
      </c>
      <c r="B1" s="5" t="s">
        <v>136</v>
      </c>
    </row>
    <row r="3" spans="1:20" s="3" customFormat="1">
      <c r="A3" t="s">
        <v>138</v>
      </c>
    </row>
    <row r="4" spans="1:20" s="3" customFormat="1">
      <c r="A4" t="s">
        <v>137</v>
      </c>
    </row>
    <row r="6" spans="1:20">
      <c r="A6" s="48" t="s">
        <v>128</v>
      </c>
      <c r="B6" s="142">
        <v>4</v>
      </c>
      <c r="C6" s="143"/>
      <c r="D6" s="144"/>
      <c r="E6" s="4"/>
      <c r="F6" s="4"/>
      <c r="G6" s="4"/>
      <c r="H6" s="4"/>
      <c r="I6" s="4"/>
      <c r="J6" s="4"/>
      <c r="K6" s="4"/>
      <c r="L6" s="4"/>
      <c r="M6" s="4"/>
      <c r="N6" s="4"/>
      <c r="O6" s="4"/>
      <c r="P6" s="4"/>
      <c r="Q6" s="4"/>
      <c r="R6" s="4"/>
      <c r="S6" s="4"/>
      <c r="T6" s="4"/>
    </row>
    <row r="7" spans="1:20">
      <c r="A7" s="48" t="s">
        <v>134</v>
      </c>
      <c r="B7" s="145">
        <v>3</v>
      </c>
      <c r="C7" s="146"/>
      <c r="D7" s="147"/>
      <c r="F7" s="5"/>
    </row>
    <row r="8" spans="1:20">
      <c r="A8" s="48" t="s">
        <v>139</v>
      </c>
      <c r="B8" s="148" t="str">
        <f>CONCATENATE(DEC2HEX(B6,2),DEC2HEX(B7,2))</f>
        <v>0403</v>
      </c>
      <c r="C8" s="143"/>
      <c r="D8" s="144"/>
    </row>
    <row r="9" spans="1:20">
      <c r="B9" s="2"/>
      <c r="C9" s="36"/>
      <c r="D9" s="4"/>
      <c r="E9" s="4"/>
      <c r="F9" s="37"/>
      <c r="G9" s="4"/>
      <c r="H9" s="37"/>
      <c r="I9" s="4"/>
      <c r="J9" s="4"/>
      <c r="K9" s="4"/>
      <c r="L9" s="4"/>
      <c r="M9" s="4"/>
      <c r="N9" s="4"/>
      <c r="O9" s="4"/>
      <c r="P9" s="4"/>
      <c r="Q9" s="4"/>
      <c r="R9" s="4"/>
      <c r="S9" s="4"/>
      <c r="T9" s="4"/>
    </row>
    <row r="10" spans="1:20" s="3" customFormat="1">
      <c r="A10" t="s">
        <v>135</v>
      </c>
      <c r="B10" s="5" t="s">
        <v>140</v>
      </c>
    </row>
    <row r="12" spans="1:20" s="3" customFormat="1">
      <c r="A12" t="s">
        <v>141</v>
      </c>
    </row>
    <row r="13" spans="1:20" s="3" customFormat="1">
      <c r="A13" t="s">
        <v>137</v>
      </c>
    </row>
    <row r="15" spans="1:20">
      <c r="A15" s="48" t="s">
        <v>128</v>
      </c>
      <c r="B15" s="142">
        <v>4</v>
      </c>
      <c r="C15" s="143"/>
      <c r="D15" s="144"/>
      <c r="E15" s="4"/>
      <c r="F15" s="4"/>
      <c r="G15" s="4"/>
      <c r="H15" s="4"/>
      <c r="I15" s="4"/>
      <c r="J15" s="4"/>
      <c r="K15" s="4"/>
      <c r="L15" s="4"/>
      <c r="M15" s="4"/>
      <c r="N15" s="4"/>
      <c r="O15" s="4"/>
      <c r="P15" s="4"/>
      <c r="Q15" s="4"/>
      <c r="R15" s="4"/>
      <c r="S15" s="4"/>
      <c r="T15" s="4"/>
    </row>
    <row r="16" spans="1:20">
      <c r="A16" s="48" t="s">
        <v>134</v>
      </c>
      <c r="B16" s="145">
        <v>4</v>
      </c>
      <c r="C16" s="146"/>
      <c r="D16" s="147"/>
      <c r="F16" s="5"/>
    </row>
    <row r="17" spans="1:20" ht="14.25" customHeight="1">
      <c r="A17" s="48" t="s">
        <v>139</v>
      </c>
      <c r="B17" s="148" t="str">
        <f>CONCATENATE(DEC2HEX(B15,2),DEC2HEX(B16,2))</f>
        <v>0404</v>
      </c>
      <c r="C17" s="143"/>
      <c r="D17" s="144"/>
    </row>
    <row r="19" spans="1:20" s="3" customFormat="1">
      <c r="A19" t="s">
        <v>135</v>
      </c>
      <c r="B19" s="5" t="s">
        <v>142</v>
      </c>
    </row>
    <row r="21" spans="1:20" s="3" customFormat="1">
      <c r="A21" t="s">
        <v>143</v>
      </c>
    </row>
    <row r="22" spans="1:20" s="3" customFormat="1">
      <c r="A22" t="s">
        <v>144</v>
      </c>
    </row>
    <row r="24" spans="1:20">
      <c r="A24" s="48" t="s">
        <v>128</v>
      </c>
      <c r="B24" s="142">
        <v>4</v>
      </c>
      <c r="C24" s="143"/>
      <c r="D24" s="144"/>
      <c r="E24" s="4"/>
      <c r="F24" s="4"/>
      <c r="G24" s="4"/>
      <c r="H24" s="4"/>
      <c r="I24" s="4"/>
      <c r="J24" s="4"/>
      <c r="K24" s="4"/>
      <c r="L24" s="4"/>
      <c r="M24" s="4"/>
      <c r="N24" s="4"/>
      <c r="O24" s="4"/>
      <c r="P24" s="4"/>
      <c r="Q24" s="4"/>
      <c r="R24" s="4"/>
      <c r="S24" s="4"/>
      <c r="T24" s="4"/>
    </row>
    <row r="25" spans="1:20">
      <c r="A25" s="48" t="s">
        <v>134</v>
      </c>
      <c r="B25" s="145">
        <v>5</v>
      </c>
      <c r="C25" s="146"/>
      <c r="D25" s="147"/>
      <c r="F25" s="5"/>
    </row>
    <row r="26" spans="1:20">
      <c r="A26" s="48" t="s">
        <v>139</v>
      </c>
      <c r="B26" s="148" t="str">
        <f>CONCATENATE(DEC2HEX(B24,2),DEC2HEX(B25,2))</f>
        <v>0405</v>
      </c>
      <c r="C26" s="143"/>
      <c r="D26" s="144"/>
    </row>
    <row r="27" spans="1:20">
      <c r="B27" s="2"/>
      <c r="C27" s="36"/>
      <c r="D27" s="4"/>
      <c r="E27" s="4"/>
      <c r="F27" s="37"/>
      <c r="G27" s="4"/>
      <c r="H27" s="37"/>
      <c r="I27" s="4"/>
      <c r="J27" s="4"/>
      <c r="K27" s="4"/>
      <c r="L27" s="4"/>
      <c r="M27" s="4"/>
      <c r="N27" s="4"/>
      <c r="O27" s="4"/>
      <c r="P27" s="4"/>
      <c r="Q27" s="4"/>
      <c r="R27" s="4"/>
      <c r="S27" s="4"/>
      <c r="T27" s="4"/>
    </row>
    <row r="28" spans="1:20" s="3" customFormat="1">
      <c r="A28" t="s">
        <v>135</v>
      </c>
      <c r="B28" s="5" t="s">
        <v>140</v>
      </c>
    </row>
    <row r="30" spans="1:20" s="3" customFormat="1">
      <c r="A30" t="s">
        <v>145</v>
      </c>
    </row>
    <row r="31" spans="1:20" s="3" customFormat="1">
      <c r="A31" t="s">
        <v>144</v>
      </c>
    </row>
    <row r="33" spans="1:20">
      <c r="A33" s="48" t="s">
        <v>128</v>
      </c>
      <c r="B33" s="142">
        <v>4</v>
      </c>
      <c r="C33" s="143"/>
      <c r="D33" s="144"/>
      <c r="E33" s="4"/>
      <c r="F33" s="4"/>
      <c r="G33" s="4"/>
      <c r="H33" s="4"/>
      <c r="I33" s="4"/>
      <c r="J33" s="4"/>
      <c r="K33" s="4"/>
      <c r="L33" s="4"/>
      <c r="M33" s="4"/>
      <c r="N33" s="4"/>
      <c r="O33" s="4"/>
      <c r="P33" s="4"/>
      <c r="Q33" s="4"/>
      <c r="R33" s="4"/>
      <c r="S33" s="4"/>
      <c r="T33" s="4"/>
    </row>
    <row r="34" spans="1:20">
      <c r="A34" s="48" t="s">
        <v>134</v>
      </c>
      <c r="B34" s="145">
        <v>6</v>
      </c>
      <c r="C34" s="146"/>
      <c r="D34" s="147"/>
      <c r="F34" s="5"/>
    </row>
    <row r="35" spans="1:20" ht="14.25" customHeight="1">
      <c r="A35" s="48" t="s">
        <v>139</v>
      </c>
      <c r="B35" s="148" t="str">
        <f>CONCATENATE(DEC2HEX(B33,2),DEC2HEX(B34,2))</f>
        <v>0406</v>
      </c>
      <c r="C35" s="143"/>
      <c r="D35" s="144"/>
    </row>
  </sheetData>
  <sheetProtection selectLockedCells="1"/>
  <mergeCells count="12">
    <mergeCell ref="B7:D7"/>
    <mergeCell ref="B6:D6"/>
    <mergeCell ref="B24:D24"/>
    <mergeCell ref="B17:D17"/>
    <mergeCell ref="B15:D15"/>
    <mergeCell ref="B16:D16"/>
    <mergeCell ref="B8:D8"/>
    <mergeCell ref="B35:D35"/>
    <mergeCell ref="B33:D33"/>
    <mergeCell ref="B34:D34"/>
    <mergeCell ref="B25:D25"/>
    <mergeCell ref="B26:D26"/>
  </mergeCells>
  <pageMargins left="0.7" right="0.7" top="0.75" bottom="0.75" header="0.3" footer="0.3"/>
  <pageSetup orientation="portrait" horizontalDpi="200" verticalDpi="200" copies="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5237B-BE17-47F4-9A8D-53F29B107037}">
  <sheetPr codeName="Sheet14"/>
  <dimension ref="A1:B25"/>
  <sheetViews>
    <sheetView workbookViewId="0">
      <selection activeCell="I13" sqref="I13"/>
    </sheetView>
  </sheetViews>
  <sheetFormatPr defaultRowHeight="15"/>
  <cols>
    <col min="1" max="1" width="25.85546875" bestFit="1" customWidth="1"/>
  </cols>
  <sheetData>
    <row r="1" spans="1:2">
      <c r="A1" s="58" t="s">
        <v>166</v>
      </c>
      <c r="B1" t="s">
        <v>188</v>
      </c>
    </row>
    <row r="2" spans="1:2">
      <c r="A2" s="58"/>
      <c r="B2">
        <f>SUM(B3:B23)</f>
        <v>58</v>
      </c>
    </row>
    <row r="3" spans="1:2">
      <c r="A3" s="58" t="s">
        <v>167</v>
      </c>
      <c r="B3">
        <v>2</v>
      </c>
    </row>
    <row r="4" spans="1:2">
      <c r="A4" s="58" t="s">
        <v>168</v>
      </c>
      <c r="B4">
        <v>2</v>
      </c>
    </row>
    <row r="5" spans="1:2">
      <c r="A5" s="58" t="s">
        <v>169</v>
      </c>
    </row>
    <row r="6" spans="1:2">
      <c r="A6" s="58" t="s">
        <v>170</v>
      </c>
      <c r="B6">
        <v>2</v>
      </c>
    </row>
    <row r="7" spans="1:2">
      <c r="A7" s="58" t="s">
        <v>171</v>
      </c>
    </row>
    <row r="8" spans="1:2">
      <c r="A8" s="58" t="s">
        <v>172</v>
      </c>
    </row>
    <row r="9" spans="1:2">
      <c r="A9" s="58" t="s">
        <v>173</v>
      </c>
      <c r="B9">
        <v>40</v>
      </c>
    </row>
    <row r="10" spans="1:2">
      <c r="A10" s="58" t="s">
        <v>171</v>
      </c>
    </row>
    <row r="11" spans="1:2">
      <c r="A11" s="58" t="s">
        <v>174</v>
      </c>
    </row>
    <row r="12" spans="1:2">
      <c r="A12" s="58" t="s">
        <v>175</v>
      </c>
    </row>
    <row r="13" spans="1:2">
      <c r="A13" s="58" t="s">
        <v>176</v>
      </c>
    </row>
    <row r="14" spans="1:2">
      <c r="A14" s="58" t="s">
        <v>177</v>
      </c>
    </row>
    <row r="15" spans="1:2">
      <c r="A15" s="58" t="s">
        <v>178</v>
      </c>
    </row>
    <row r="16" spans="1:2">
      <c r="A16" s="58" t="s">
        <v>171</v>
      </c>
    </row>
    <row r="17" spans="1:2">
      <c r="A17" s="58" t="s">
        <v>179</v>
      </c>
    </row>
    <row r="18" spans="1:2">
      <c r="A18" s="58" t="s">
        <v>180</v>
      </c>
      <c r="B18">
        <v>2</v>
      </c>
    </row>
    <row r="19" spans="1:2">
      <c r="A19" s="58" t="s">
        <v>181</v>
      </c>
      <c r="B19">
        <v>2</v>
      </c>
    </row>
    <row r="20" spans="1:2">
      <c r="A20" s="58" t="s">
        <v>182</v>
      </c>
      <c r="B20">
        <v>2</v>
      </c>
    </row>
    <row r="21" spans="1:2">
      <c r="A21" s="58" t="s">
        <v>183</v>
      </c>
      <c r="B21">
        <v>2</v>
      </c>
    </row>
    <row r="22" spans="1:2">
      <c r="A22" s="58" t="s">
        <v>184</v>
      </c>
      <c r="B22">
        <v>2</v>
      </c>
    </row>
    <row r="23" spans="1:2">
      <c r="A23" s="58" t="s">
        <v>185</v>
      </c>
      <c r="B23">
        <v>2</v>
      </c>
    </row>
    <row r="24" spans="1:2">
      <c r="A24" s="58" t="s">
        <v>186</v>
      </c>
    </row>
    <row r="25" spans="1:2">
      <c r="A25" s="58" t="s">
        <v>187</v>
      </c>
    </row>
  </sheetData>
  <pageMargins left="0.7" right="0.7" top="0.75" bottom="0.75" header="0.3" footer="0.3"/>
  <pageSetup orientation="portrait" copies="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Revisions</vt:lpstr>
      <vt:lpstr>parameters recipe</vt:lpstr>
      <vt:lpstr>ProcessData</vt:lpstr>
      <vt:lpstr>PhysicalData</vt:lpstr>
      <vt:lpstr>DeviceData</vt:lpstr>
      <vt:lpstr>AllData</vt:lpstr>
      <vt:lpstr>parameters RFID</vt:lpstr>
      <vt:lpstr>STATUS enum</vt:lpstr>
      <vt:lpstr>RECIPESTATUS enum</vt:lpstr>
      <vt:lpstr>parameters machine</vt:lpstr>
      <vt:lpstr>parameters LED</vt:lpstr>
      <vt:lpstr>parameters dummymode</vt:lpstr>
      <vt:lpstr>parameters partition</vt:lpstr>
      <vt:lpstr>Recipe template</vt:lpstr>
      <vt:lpstr>Command template</vt:lpstr>
      <vt:lpstr>Example Coffee 1</vt:lpstr>
      <vt:lpstr>Example Coffee 2</vt:lpstr>
      <vt:lpstr>Example Milk</vt:lpstr>
      <vt:lpstr>Example Water</vt:lpstr>
      <vt:lpstr>Example commands</vt:lpstr>
      <vt:lpstr>Recipe definition RFID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Rene</cp:lastModifiedBy>
  <cp:lastPrinted>2022-03-23T12:18:11Z</cp:lastPrinted>
  <dcterms:created xsi:type="dcterms:W3CDTF">2022-03-23T11:36:31Z</dcterms:created>
  <dcterms:modified xsi:type="dcterms:W3CDTF">2022-12-16T02:21:18Z</dcterms:modified>
</cp:coreProperties>
</file>