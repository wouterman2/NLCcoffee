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MB Holland bv\Products\80482201 Next Level Coffee machine\Software\"/>
    </mc:Choice>
  </mc:AlternateContent>
  <xr:revisionPtr revIDLastSave="0" documentId="13_ncr:1_{A41623CC-46EF-489C-86FD-647941CE9A65}" xr6:coauthVersionLast="47" xr6:coauthVersionMax="47" xr10:uidLastSave="{00000000-0000-0000-0000-000000000000}"/>
  <bookViews>
    <workbookView xWindow="-120" yWindow="-120" windowWidth="29040" windowHeight="15840" tabRatio="805" xr2:uid="{A0A4DC6E-BD77-46DF-88D6-53160515E35B}"/>
  </bookViews>
  <sheets>
    <sheet name="Revisions" sheetId="4" r:id="rId1"/>
    <sheet name="UART Protocol CM" sheetId="1" r:id="rId2"/>
    <sheet name="Command codes" sheetId="8" r:id="rId3"/>
    <sheet name="Return codes" sheetId="9" r:id="rId4"/>
    <sheet name="UART Command example CM" sheetId="2" r:id="rId5"/>
    <sheet name="UART LED example" sheetId="7" r:id="rId6"/>
    <sheet name="UART Recipe example CM" sheetId="3" r:id="rId7"/>
    <sheet name="UART GetMachineParameters" sheetId="13" r:id="rId8"/>
    <sheet name="UART SetMachineParameters" sheetId="14" r:id="rId9"/>
    <sheet name="UART OTA example" sheetId="10" r:id="rId10"/>
    <sheet name="UART Get partition info" sheetId="11" r:id="rId11"/>
    <sheet name="Bootloader" sheetId="12" r:id="rId12"/>
    <sheet name="CRC calculation" sheetId="6" r:id="rId1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9" l="1"/>
  <c r="F34" i="9"/>
  <c r="C4" i="14"/>
  <c r="I8" i="14" s="1"/>
  <c r="D18" i="14"/>
  <c r="E18" i="14" s="1"/>
  <c r="D17" i="14"/>
  <c r="E17" i="14" s="1"/>
  <c r="E24" i="14"/>
  <c r="D25" i="14" s="1"/>
  <c r="E25" i="14" s="1"/>
  <c r="D26" i="14" s="1"/>
  <c r="E26" i="14" s="1"/>
  <c r="D27" i="14" s="1"/>
  <c r="E27" i="14" s="1"/>
  <c r="D28" i="14" s="1"/>
  <c r="E28" i="14" s="1"/>
  <c r="D29" i="14" s="1"/>
  <c r="E29" i="14" s="1"/>
  <c r="D30" i="14" s="1"/>
  <c r="E30" i="14" s="1"/>
  <c r="D31" i="14" s="1"/>
  <c r="C23" i="14"/>
  <c r="I27" i="14" s="1"/>
  <c r="E5" i="14"/>
  <c r="D6" i="14" s="1"/>
  <c r="E6" i="14" s="1"/>
  <c r="D7" i="14" s="1"/>
  <c r="E7" i="14" s="1"/>
  <c r="D8" i="14" s="1"/>
  <c r="E8" i="14" s="1"/>
  <c r="D9" i="14" s="1"/>
  <c r="E9" i="14" s="1"/>
  <c r="D10" i="14" s="1"/>
  <c r="E10" i="14" s="1"/>
  <c r="D11" i="14" s="1"/>
  <c r="E11" i="14" s="1"/>
  <c r="D12" i="14" s="1"/>
  <c r="E12" i="14" s="1"/>
  <c r="D13" i="14" s="1"/>
  <c r="E13" i="14" s="1"/>
  <c r="D14" i="14" s="1"/>
  <c r="E14" i="14" s="1"/>
  <c r="D15" i="14" s="1"/>
  <c r="E15" i="14" s="1"/>
  <c r="D16" i="14" s="1"/>
  <c r="E16" i="14" s="1"/>
  <c r="C2" i="14"/>
  <c r="I2" i="14" s="1"/>
  <c r="E34" i="13"/>
  <c r="D34" i="13"/>
  <c r="D33" i="13"/>
  <c r="E33" i="13" s="1"/>
  <c r="D35" i="13" s="1"/>
  <c r="E35" i="13" s="1"/>
  <c r="D32" i="13"/>
  <c r="E32" i="13" s="1"/>
  <c r="D28" i="13"/>
  <c r="E28" i="13" s="1"/>
  <c r="E18" i="13"/>
  <c r="D19" i="13" s="1"/>
  <c r="E19" i="13" s="1"/>
  <c r="D20" i="13" s="1"/>
  <c r="E20" i="13" s="1"/>
  <c r="D21" i="13" s="1"/>
  <c r="E21" i="13" s="1"/>
  <c r="D22" i="13" s="1"/>
  <c r="E22" i="13" s="1"/>
  <c r="D23" i="13" s="1"/>
  <c r="E23" i="13" s="1"/>
  <c r="D24" i="13" s="1"/>
  <c r="E24" i="13" s="1"/>
  <c r="D25" i="13" s="1"/>
  <c r="C17" i="13"/>
  <c r="I21" i="13" s="1"/>
  <c r="E5" i="13"/>
  <c r="D6" i="13" s="1"/>
  <c r="E6" i="13" s="1"/>
  <c r="D7" i="13" s="1"/>
  <c r="E7" i="13" s="1"/>
  <c r="D8" i="13" s="1"/>
  <c r="E8" i="13" s="1"/>
  <c r="D9" i="13" s="1"/>
  <c r="E9" i="13" s="1"/>
  <c r="D10" i="13" s="1"/>
  <c r="E10" i="13" s="1"/>
  <c r="D11" i="13" s="1"/>
  <c r="E11" i="13" s="1"/>
  <c r="D12" i="13" s="1"/>
  <c r="E12" i="13" s="1"/>
  <c r="C4" i="13"/>
  <c r="I7" i="13" s="1"/>
  <c r="C2" i="13"/>
  <c r="I2" i="13" s="1"/>
  <c r="I7" i="14" l="1"/>
  <c r="E31" i="14"/>
  <c r="D32" i="14"/>
  <c r="I26" i="14"/>
  <c r="I8" i="13"/>
  <c r="D26" i="13"/>
  <c r="E25" i="13"/>
  <c r="I20" i="13"/>
  <c r="D33" i="14" l="1"/>
  <c r="E33" i="14" s="1"/>
  <c r="E32" i="14"/>
  <c r="D27" i="13"/>
  <c r="E27" i="13" s="1"/>
  <c r="E26" i="13"/>
  <c r="D30" i="13" l="1"/>
  <c r="E30" i="13" s="1"/>
  <c r="D29" i="13"/>
  <c r="E29" i="13" s="1"/>
  <c r="D31" i="13" s="1"/>
  <c r="E31" i="13" s="1"/>
  <c r="F30" i="9" l="1"/>
  <c r="F31" i="9"/>
  <c r="F32" i="9"/>
  <c r="D39" i="11"/>
  <c r="E39" i="11" s="1"/>
  <c r="D38" i="11"/>
  <c r="E38" i="11" s="1"/>
  <c r="D40" i="11" s="1"/>
  <c r="E40" i="11" s="1"/>
  <c r="D37" i="11"/>
  <c r="E37" i="11" s="1"/>
  <c r="D85" i="12"/>
  <c r="E85" i="12" s="1"/>
  <c r="E75" i="12"/>
  <c r="D76" i="12" s="1"/>
  <c r="E76" i="12" s="1"/>
  <c r="D77" i="12" s="1"/>
  <c r="E77" i="12" s="1"/>
  <c r="D78" i="12" s="1"/>
  <c r="E78" i="12" s="1"/>
  <c r="D79" i="12" s="1"/>
  <c r="E79" i="12" s="1"/>
  <c r="D80" i="12" s="1"/>
  <c r="E80" i="12" s="1"/>
  <c r="D81" i="12" s="1"/>
  <c r="E81" i="12" s="1"/>
  <c r="D82" i="12" s="1"/>
  <c r="C74" i="12"/>
  <c r="I78" i="12" s="1"/>
  <c r="D65" i="12"/>
  <c r="E65" i="12" s="1"/>
  <c r="E55" i="12"/>
  <c r="D56" i="12" s="1"/>
  <c r="E56" i="12" s="1"/>
  <c r="D57" i="12" s="1"/>
  <c r="E57" i="12" s="1"/>
  <c r="D58" i="12" s="1"/>
  <c r="E58" i="12" s="1"/>
  <c r="D59" i="12" s="1"/>
  <c r="E59" i="12" s="1"/>
  <c r="D60" i="12" s="1"/>
  <c r="E60" i="12" s="1"/>
  <c r="D61" i="12" s="1"/>
  <c r="E61" i="12" s="1"/>
  <c r="D62" i="12" s="1"/>
  <c r="C54" i="12"/>
  <c r="I58" i="12" s="1"/>
  <c r="D41" i="10"/>
  <c r="E41" i="10" s="1"/>
  <c r="D45" i="10"/>
  <c r="E45" i="10" s="1"/>
  <c r="D49" i="10"/>
  <c r="E49" i="10" s="1"/>
  <c r="C30" i="10"/>
  <c r="F21" i="9"/>
  <c r="F22" i="9"/>
  <c r="F23" i="9"/>
  <c r="F24" i="9"/>
  <c r="F25" i="9"/>
  <c r="F26" i="9"/>
  <c r="F27" i="9"/>
  <c r="F28" i="9"/>
  <c r="F29" i="9"/>
  <c r="F20" i="9"/>
  <c r="D44" i="12"/>
  <c r="E44" i="12" s="1"/>
  <c r="D40" i="12"/>
  <c r="E40" i="12" s="1"/>
  <c r="E30" i="12"/>
  <c r="D31" i="12" s="1"/>
  <c r="E31" i="12" s="1"/>
  <c r="D32" i="12" s="1"/>
  <c r="E32" i="12" s="1"/>
  <c r="D33" i="12" s="1"/>
  <c r="E33" i="12" s="1"/>
  <c r="D34" i="12" s="1"/>
  <c r="E34" i="12" s="1"/>
  <c r="D35" i="12" s="1"/>
  <c r="E35" i="12" s="1"/>
  <c r="D36" i="12" s="1"/>
  <c r="E36" i="12" s="1"/>
  <c r="D37" i="12" s="1"/>
  <c r="C29" i="12"/>
  <c r="I33" i="12" s="1"/>
  <c r="D20" i="12"/>
  <c r="E20" i="12" s="1"/>
  <c r="D16" i="12"/>
  <c r="E16" i="12" s="1"/>
  <c r="E6" i="12"/>
  <c r="D7" i="12" s="1"/>
  <c r="E7" i="12" s="1"/>
  <c r="D8" i="12" s="1"/>
  <c r="E8" i="12" s="1"/>
  <c r="D9" i="12" s="1"/>
  <c r="E9" i="12" s="1"/>
  <c r="D10" i="12" s="1"/>
  <c r="E10" i="12" s="1"/>
  <c r="D11" i="12" s="1"/>
  <c r="E11" i="12" s="1"/>
  <c r="D12" i="12" s="1"/>
  <c r="E12" i="12" s="1"/>
  <c r="D13" i="12" s="1"/>
  <c r="C5" i="12"/>
  <c r="I9" i="12" s="1"/>
  <c r="O1" i="6"/>
  <c r="D53" i="11"/>
  <c r="E53" i="11" s="1"/>
  <c r="I77" i="12" l="1"/>
  <c r="E82" i="12"/>
  <c r="D83" i="12"/>
  <c r="D63" i="12"/>
  <c r="E62" i="12"/>
  <c r="I57" i="12"/>
  <c r="D38" i="12"/>
  <c r="E37" i="12"/>
  <c r="I32" i="12"/>
  <c r="D14" i="12"/>
  <c r="E13" i="12"/>
  <c r="I8" i="12"/>
  <c r="C16" i="11"/>
  <c r="D49" i="11"/>
  <c r="E49" i="11" s="1"/>
  <c r="D47" i="11"/>
  <c r="E47" i="11" s="1"/>
  <c r="D54" i="11" s="1"/>
  <c r="E54" i="11" s="1"/>
  <c r="D46" i="11"/>
  <c r="E46" i="11" s="1"/>
  <c r="D48" i="11" s="1"/>
  <c r="E48" i="11" s="1"/>
  <c r="D55" i="11" s="1"/>
  <c r="E55" i="11" s="1"/>
  <c r="D56" i="11" s="1"/>
  <c r="E56" i="11" s="1"/>
  <c r="D45" i="11"/>
  <c r="E45" i="11" s="1"/>
  <c r="D29" i="11"/>
  <c r="E29" i="11" s="1"/>
  <c r="D50" i="11"/>
  <c r="E50" i="11" s="1"/>
  <c r="E19" i="11"/>
  <c r="D20" i="11" s="1"/>
  <c r="E20" i="11" s="1"/>
  <c r="D21" i="11" s="1"/>
  <c r="C18" i="11"/>
  <c r="I22" i="11" s="1"/>
  <c r="E5" i="11"/>
  <c r="D6" i="11" s="1"/>
  <c r="E6" i="11" s="1"/>
  <c r="D7" i="11" s="1"/>
  <c r="E7" i="11" s="1"/>
  <c r="D8" i="11" s="1"/>
  <c r="E8" i="11" s="1"/>
  <c r="D9" i="11" s="1"/>
  <c r="E9" i="11" s="1"/>
  <c r="D10" i="11" s="1"/>
  <c r="E10" i="11" s="1"/>
  <c r="D11" i="11" s="1"/>
  <c r="E11" i="11" s="1"/>
  <c r="D12" i="11" s="1"/>
  <c r="E12" i="11" s="1"/>
  <c r="C4" i="11"/>
  <c r="I7" i="11" s="1"/>
  <c r="D13" i="10"/>
  <c r="E13" i="10" s="1"/>
  <c r="C2" i="10"/>
  <c r="I2" i="10" s="1"/>
  <c r="E31" i="10"/>
  <c r="D32" i="10" s="1"/>
  <c r="E32" i="10" s="1"/>
  <c r="D33" i="10" s="1"/>
  <c r="E33" i="10" s="1"/>
  <c r="D34" i="10" s="1"/>
  <c r="E34" i="10" s="1"/>
  <c r="D35" i="10" s="1"/>
  <c r="E35" i="10" s="1"/>
  <c r="D36" i="10" s="1"/>
  <c r="E36" i="10" s="1"/>
  <c r="D37" i="10" s="1"/>
  <c r="E37" i="10" s="1"/>
  <c r="D38" i="10" s="1"/>
  <c r="I34" i="10"/>
  <c r="E5" i="10"/>
  <c r="D6" i="10" s="1"/>
  <c r="E6" i="10" s="1"/>
  <c r="D7" i="10" s="1"/>
  <c r="E7" i="10" s="1"/>
  <c r="D8" i="10" s="1"/>
  <c r="E8" i="10" s="1"/>
  <c r="D9" i="10" s="1"/>
  <c r="E9" i="10" s="1"/>
  <c r="D10" i="10" s="1"/>
  <c r="E10" i="10" s="1"/>
  <c r="D11" i="10" s="1"/>
  <c r="E11" i="10" s="1"/>
  <c r="D12" i="10" s="1"/>
  <c r="E12" i="10" s="1"/>
  <c r="D17" i="10" s="1"/>
  <c r="E17" i="10" s="1"/>
  <c r="D21" i="10" s="1"/>
  <c r="E21" i="10" s="1"/>
  <c r="D25" i="10" s="1"/>
  <c r="E25" i="10" s="1"/>
  <c r="C4" i="10"/>
  <c r="I8" i="10" s="1"/>
  <c r="E25" i="7"/>
  <c r="D26" i="7" s="1"/>
  <c r="E26" i="7" s="1"/>
  <c r="D27" i="7" s="1"/>
  <c r="E27" i="7" s="1"/>
  <c r="D28" i="7" s="1"/>
  <c r="E28" i="7" s="1"/>
  <c r="D29" i="7" s="1"/>
  <c r="E29" i="7" s="1"/>
  <c r="D30" i="7" s="1"/>
  <c r="E30" i="7" s="1"/>
  <c r="D31" i="7" s="1"/>
  <c r="E31" i="7" s="1"/>
  <c r="D32" i="7" s="1"/>
  <c r="C24" i="7"/>
  <c r="I28" i="7" s="1"/>
  <c r="E6" i="7"/>
  <c r="D7" i="7" s="1"/>
  <c r="E7" i="7" s="1"/>
  <c r="D8" i="7" s="1"/>
  <c r="E8" i="7" s="1"/>
  <c r="D9" i="7" s="1"/>
  <c r="E9" i="7" s="1"/>
  <c r="D10" i="7" s="1"/>
  <c r="E10" i="7" s="1"/>
  <c r="D11" i="7" s="1"/>
  <c r="E11" i="7" s="1"/>
  <c r="D12" i="7" s="1"/>
  <c r="E12" i="7" s="1"/>
  <c r="D13" i="7" s="1"/>
  <c r="E13" i="7" s="1"/>
  <c r="D14" i="7" s="1"/>
  <c r="E14" i="7" s="1"/>
  <c r="D15" i="7" s="1"/>
  <c r="E15" i="7" s="1"/>
  <c r="D16" i="7" s="1"/>
  <c r="E16" i="7" s="1"/>
  <c r="D17" i="7" s="1"/>
  <c r="E17" i="7" s="1"/>
  <c r="D18" i="7" s="1"/>
  <c r="E18" i="7" s="1"/>
  <c r="D84" i="12" l="1"/>
  <c r="E84" i="12" s="1"/>
  <c r="D87" i="12" s="1"/>
  <c r="E87" i="12" s="1"/>
  <c r="D88" i="12" s="1"/>
  <c r="E88" i="12" s="1"/>
  <c r="E83" i="12"/>
  <c r="D86" i="12" s="1"/>
  <c r="E86" i="12" s="1"/>
  <c r="D64" i="12"/>
  <c r="E64" i="12" s="1"/>
  <c r="E63" i="12"/>
  <c r="D39" i="12"/>
  <c r="E39" i="12" s="1"/>
  <c r="E38" i="12"/>
  <c r="D15" i="12"/>
  <c r="E15" i="12" s="1"/>
  <c r="E14" i="12"/>
  <c r="I21" i="11"/>
  <c r="I8" i="11"/>
  <c r="C2" i="11" s="1"/>
  <c r="E21" i="11"/>
  <c r="D22" i="11" s="1"/>
  <c r="D18" i="10"/>
  <c r="E18" i="10" s="1"/>
  <c r="D19" i="10"/>
  <c r="E19" i="10" s="1"/>
  <c r="I7" i="10"/>
  <c r="D39" i="10"/>
  <c r="E38" i="10"/>
  <c r="I33" i="10"/>
  <c r="I27" i="7"/>
  <c r="C22" i="7" s="1"/>
  <c r="D33" i="7"/>
  <c r="E32" i="7"/>
  <c r="D66" i="12" l="1"/>
  <c r="E66" i="12" s="1"/>
  <c r="D67" i="12"/>
  <c r="E67" i="12" s="1"/>
  <c r="D68" i="12" s="1"/>
  <c r="E68" i="12" s="1"/>
  <c r="D45" i="12"/>
  <c r="E45" i="12" s="1"/>
  <c r="D41" i="12"/>
  <c r="E41" i="12" s="1"/>
  <c r="D42" i="12"/>
  <c r="E42" i="12" s="1"/>
  <c r="D43" i="12" s="1"/>
  <c r="E43" i="12" s="1"/>
  <c r="D46" i="12"/>
  <c r="E46" i="12" s="1"/>
  <c r="D47" i="12" s="1"/>
  <c r="E47" i="12" s="1"/>
  <c r="D22" i="12"/>
  <c r="E22" i="12" s="1"/>
  <c r="D23" i="12" s="1"/>
  <c r="E23" i="12" s="1"/>
  <c r="D18" i="12"/>
  <c r="E18" i="12" s="1"/>
  <c r="D17" i="12"/>
  <c r="E17" i="12" s="1"/>
  <c r="D21" i="12"/>
  <c r="E21" i="12" s="1"/>
  <c r="E22" i="11"/>
  <c r="D23" i="11" s="1"/>
  <c r="E23" i="11" s="1"/>
  <c r="D24" i="11" s="1"/>
  <c r="D20" i="10"/>
  <c r="E20" i="10" s="1"/>
  <c r="D23" i="10" s="1"/>
  <c r="E23" i="10" s="1"/>
  <c r="D22" i="10"/>
  <c r="E22" i="10" s="1"/>
  <c r="E39" i="10"/>
  <c r="D40" i="10"/>
  <c r="E40" i="10" s="1"/>
  <c r="E33" i="7"/>
  <c r="D34" i="7"/>
  <c r="E34" i="7" s="1"/>
  <c r="D35" i="7" s="1"/>
  <c r="E35" i="7" s="1"/>
  <c r="D36" i="7" s="1"/>
  <c r="E36" i="7" s="1"/>
  <c r="D47" i="10" l="1"/>
  <c r="E47" i="10" s="1"/>
  <c r="D51" i="10"/>
  <c r="E51" i="10" s="1"/>
  <c r="D52" i="10" s="1"/>
  <c r="E52" i="10" s="1"/>
  <c r="D46" i="10"/>
  <c r="E46" i="10" s="1"/>
  <c r="D50" i="10"/>
  <c r="E50" i="10" s="1"/>
  <c r="D19" i="12"/>
  <c r="E19" i="12" s="1"/>
  <c r="E24" i="11"/>
  <c r="D25" i="11" s="1"/>
  <c r="E25" i="11" s="1"/>
  <c r="D26" i="11" s="1"/>
  <c r="D24" i="10"/>
  <c r="E24" i="10" s="1"/>
  <c r="D15" i="10" s="1"/>
  <c r="E15" i="10" s="1"/>
  <c r="D14" i="10"/>
  <c r="E14" i="10" s="1"/>
  <c r="D16" i="10" s="1"/>
  <c r="E16" i="10" s="1"/>
  <c r="C5" i="7"/>
  <c r="I9" i="7" s="1"/>
  <c r="M3" i="6"/>
  <c r="K64" i="2"/>
  <c r="K60" i="2"/>
  <c r="D42" i="10" l="1"/>
  <c r="E42" i="10" s="1"/>
  <c r="D44" i="10" s="1"/>
  <c r="E44" i="10" s="1"/>
  <c r="D48" i="10"/>
  <c r="E48" i="10" s="1"/>
  <c r="D43" i="10" s="1"/>
  <c r="E43" i="10" s="1"/>
  <c r="E26" i="11"/>
  <c r="D27" i="11"/>
  <c r="I8" i="7"/>
  <c r="C3" i="7" s="1"/>
  <c r="D28" i="11" l="1"/>
  <c r="E28" i="11" s="1"/>
  <c r="E27" i="11"/>
  <c r="O3" i="6"/>
  <c r="C4" i="3"/>
  <c r="I7" i="3" s="1"/>
  <c r="E5" i="3"/>
  <c r="D6" i="3" s="1"/>
  <c r="E6" i="3" s="1"/>
  <c r="D7" i="3" s="1"/>
  <c r="E7" i="3" s="1"/>
  <c r="D8" i="3" s="1"/>
  <c r="E8" i="3" s="1"/>
  <c r="D9" i="3" s="1"/>
  <c r="E9" i="3" s="1"/>
  <c r="D10" i="3" s="1"/>
  <c r="E10" i="3" s="1"/>
  <c r="D11" i="3" s="1"/>
  <c r="E11" i="3" s="1"/>
  <c r="D12" i="3" s="1"/>
  <c r="E12" i="3" s="1"/>
  <c r="D13" i="3" s="1"/>
  <c r="E13" i="3" s="1"/>
  <c r="D14" i="3" s="1"/>
  <c r="E14" i="3" s="1"/>
  <c r="D15" i="3" s="1"/>
  <c r="E15" i="3" s="1"/>
  <c r="D16" i="3" s="1"/>
  <c r="E16" i="3" s="1"/>
  <c r="D17" i="3" s="1"/>
  <c r="E17" i="3" s="1"/>
  <c r="C22" i="3"/>
  <c r="E23" i="3"/>
  <c r="D24" i="3" s="1"/>
  <c r="E24" i="3" s="1"/>
  <c r="D25" i="3" s="1"/>
  <c r="E25" i="3" s="1"/>
  <c r="D26" i="3" s="1"/>
  <c r="E26" i="3" s="1"/>
  <c r="D27" i="3" s="1"/>
  <c r="E27" i="3" s="1"/>
  <c r="D28" i="3" s="1"/>
  <c r="E28" i="3" s="1"/>
  <c r="D29" i="3" s="1"/>
  <c r="E29" i="3" s="1"/>
  <c r="D30" i="3" s="1"/>
  <c r="C4" i="2"/>
  <c r="E5" i="2"/>
  <c r="D6" i="2" s="1"/>
  <c r="E6" i="2" s="1"/>
  <c r="D7" i="2" s="1"/>
  <c r="E7" i="2" s="1"/>
  <c r="D8" i="2" s="1"/>
  <c r="E8" i="2" s="1"/>
  <c r="D9" i="2" s="1"/>
  <c r="E9" i="2" s="1"/>
  <c r="D10" i="2" s="1"/>
  <c r="E10" i="2" s="1"/>
  <c r="D11" i="2" s="1"/>
  <c r="E11" i="2" s="1"/>
  <c r="D12" i="2" s="1"/>
  <c r="E12" i="2" s="1"/>
  <c r="C18" i="2"/>
  <c r="I22" i="2" s="1"/>
  <c r="E19" i="2"/>
  <c r="D20" i="2" s="1"/>
  <c r="E20" i="2" s="1"/>
  <c r="D21" i="2" s="1"/>
  <c r="E21" i="2" s="1"/>
  <c r="D22" i="2" s="1"/>
  <c r="E22" i="2" s="1"/>
  <c r="D23" i="2" s="1"/>
  <c r="E23" i="2" s="1"/>
  <c r="D24" i="2" s="1"/>
  <c r="E24" i="2" s="1"/>
  <c r="D25" i="2" s="1"/>
  <c r="E25" i="2" s="1"/>
  <c r="D26" i="2" s="1"/>
  <c r="C34" i="2"/>
  <c r="I37" i="2" s="1"/>
  <c r="E35" i="2"/>
  <c r="D36" i="2" s="1"/>
  <c r="E36" i="2" s="1"/>
  <c r="D37" i="2" s="1"/>
  <c r="D45" i="2"/>
  <c r="E45" i="2" s="1"/>
  <c r="K61" i="2"/>
  <c r="K62" i="2"/>
  <c r="K63" i="2"/>
  <c r="K65" i="2"/>
  <c r="K66" i="2"/>
  <c r="K67" i="2"/>
  <c r="C5" i="1"/>
  <c r="E6" i="1"/>
  <c r="D7" i="1" s="1"/>
  <c r="E7" i="1" s="1"/>
  <c r="D8" i="1" s="1"/>
  <c r="E8" i="1" s="1"/>
  <c r="D9" i="1" s="1"/>
  <c r="E9" i="1" s="1"/>
  <c r="D10" i="1" s="1"/>
  <c r="E10" i="1" s="1"/>
  <c r="D11" i="1" s="1"/>
  <c r="E11" i="1" s="1"/>
  <c r="D12" i="1" s="1"/>
  <c r="E12" i="1" s="1"/>
  <c r="D13" i="1" s="1"/>
  <c r="E13" i="1" s="1"/>
  <c r="D14" i="1" s="1"/>
  <c r="E14" i="1" s="1"/>
  <c r="D15" i="1" s="1"/>
  <c r="E15" i="1" s="1"/>
  <c r="D16" i="1" s="1"/>
  <c r="E16" i="1" s="1"/>
  <c r="D17" i="1" s="1"/>
  <c r="E17" i="1" s="1"/>
  <c r="D18" i="1"/>
  <c r="E18" i="1"/>
  <c r="C24" i="1"/>
  <c r="E25" i="1"/>
  <c r="D26" i="1" s="1"/>
  <c r="E26" i="1" s="1"/>
  <c r="D27" i="1"/>
  <c r="E27" i="1" s="1"/>
  <c r="D28" i="1" s="1"/>
  <c r="E28" i="1" s="1"/>
  <c r="D29" i="1" s="1"/>
  <c r="E29" i="1" s="1"/>
  <c r="D30" i="1" s="1"/>
  <c r="E30" i="1" s="1"/>
  <c r="D31" i="1" s="1"/>
  <c r="E31" i="1" s="1"/>
  <c r="D32" i="1" s="1"/>
  <c r="D51" i="11" l="1"/>
  <c r="E51" i="11" s="1"/>
  <c r="D52" i="11" s="1"/>
  <c r="E52" i="11" s="1"/>
  <c r="D30" i="11"/>
  <c r="E30" i="11" s="1"/>
  <c r="D32" i="11" s="1"/>
  <c r="E32" i="11" s="1"/>
  <c r="D31" i="11"/>
  <c r="E31" i="11" s="1"/>
  <c r="I25" i="3"/>
  <c r="I26" i="3"/>
  <c r="E37" i="2"/>
  <c r="D38" i="2" s="1"/>
  <c r="D47" i="2"/>
  <c r="D46" i="2"/>
  <c r="E46" i="2" s="1"/>
  <c r="I21" i="2"/>
  <c r="I38" i="2"/>
  <c r="C32" i="2" s="1"/>
  <c r="I8" i="2"/>
  <c r="I7" i="2"/>
  <c r="I9" i="1"/>
  <c r="I8" i="1"/>
  <c r="I27" i="1"/>
  <c r="I28" i="1"/>
  <c r="E30" i="3"/>
  <c r="D31" i="3"/>
  <c r="E26" i="2"/>
  <c r="D27" i="2"/>
  <c r="E38" i="2"/>
  <c r="D39" i="2" s="1"/>
  <c r="E39" i="2" s="1"/>
  <c r="D40" i="2" s="1"/>
  <c r="D51" i="2" s="1"/>
  <c r="D49" i="2"/>
  <c r="E32" i="1"/>
  <c r="D33" i="1"/>
  <c r="I8" i="3"/>
  <c r="C2" i="3" s="1"/>
  <c r="C20" i="3" l="1"/>
  <c r="D52" i="2"/>
  <c r="E52" i="2" s="1"/>
  <c r="E51" i="2"/>
  <c r="D48" i="2"/>
  <c r="E48" i="2" s="1"/>
  <c r="E47" i="2"/>
  <c r="C16" i="2"/>
  <c r="C2" i="2"/>
  <c r="E27" i="2"/>
  <c r="D28" i="2"/>
  <c r="E28" i="2" s="1"/>
  <c r="E33" i="1"/>
  <c r="D34" i="1"/>
  <c r="E34" i="1" s="1"/>
  <c r="D53" i="2"/>
  <c r="E40" i="2"/>
  <c r="D41" i="2" s="1"/>
  <c r="E41" i="2" s="1"/>
  <c r="D42" i="2" s="1"/>
  <c r="D50" i="2"/>
  <c r="E50" i="2" s="1"/>
  <c r="E49" i="2"/>
  <c r="E31" i="3"/>
  <c r="D32" i="3"/>
  <c r="E32" i="3" s="1"/>
  <c r="E42" i="2" l="1"/>
  <c r="D55" i="2"/>
  <c r="D43" i="2"/>
  <c r="E53" i="2"/>
  <c r="D54" i="2"/>
  <c r="E54" i="2" s="1"/>
  <c r="E43" i="2" l="1"/>
  <c r="D44" i="2"/>
  <c r="E55" i="2"/>
  <c r="D56" i="2"/>
  <c r="E56" i="2" s="1"/>
  <c r="E44" i="2" l="1"/>
</calcChain>
</file>

<file path=xl/sharedStrings.xml><?xml version="1.0" encoding="utf-8"?>
<sst xmlns="http://schemas.openxmlformats.org/spreadsheetml/2006/main" count="1668" uniqueCount="487">
  <si>
    <t>No</t>
  </si>
  <si>
    <t>Data block(s)</t>
  </si>
  <si>
    <t>Yes</t>
  </si>
  <si>
    <t>Status LSB</t>
  </si>
  <si>
    <t>Status MSB</t>
  </si>
  <si>
    <t>CRC LSB</t>
  </si>
  <si>
    <t>CRC value for data integrity check</t>
  </si>
  <si>
    <t>CRC MSB</t>
  </si>
  <si>
    <t>Type of message LSB</t>
  </si>
  <si>
    <t>Type of message MSB</t>
  </si>
  <si>
    <t>Length LSB</t>
  </si>
  <si>
    <t>Length of command (Include CRC length)</t>
  </si>
  <si>
    <t>Length MSB</t>
  </si>
  <si>
    <t>Start character</t>
  </si>
  <si>
    <t>/</t>
  </si>
  <si>
    <t>StartByte</t>
  </si>
  <si>
    <t>Remark</t>
    <phoneticPr fontId="0" type="noConversion"/>
  </si>
  <si>
    <t>Required</t>
  </si>
  <si>
    <t>Max</t>
    <phoneticPr fontId="0" type="noConversion"/>
  </si>
  <si>
    <t>Min</t>
    <phoneticPr fontId="0" type="noConversion"/>
  </si>
  <si>
    <t>Item</t>
    <phoneticPr fontId="0" type="noConversion"/>
  </si>
  <si>
    <t>UART outgoing message protocol</t>
  </si>
  <si>
    <t>UART protocol to the Linux board</t>
  </si>
  <si>
    <t>Data (Values * 2 bytes)</t>
  </si>
  <si>
    <t>Current Block LSB</t>
  </si>
  <si>
    <t>Current block that is being sent</t>
  </si>
  <si>
    <t>Current Block MSB</t>
  </si>
  <si>
    <t>Nr Of Blocks LSB</t>
  </si>
  <si>
    <t>Nr of blocks that will be sent</t>
  </si>
  <si>
    <t>Nr Of Blocks MSB</t>
  </si>
  <si>
    <t>UART incoming message protocol</t>
  </si>
  <si>
    <t>UART protocol to the coffee machine</t>
  </si>
  <si>
    <t>Temp 3</t>
  </si>
  <si>
    <t>Data3</t>
  </si>
  <si>
    <t>Temp 2</t>
  </si>
  <si>
    <t>Data2</t>
  </si>
  <si>
    <t>Temp 1</t>
  </si>
  <si>
    <t>Data1</t>
  </si>
  <si>
    <t>Success</t>
  </si>
  <si>
    <t>Status</t>
  </si>
  <si>
    <t>CRC</t>
  </si>
  <si>
    <t>Type</t>
  </si>
  <si>
    <t>Length</t>
  </si>
  <si>
    <t>0x31</t>
  </si>
  <si>
    <t>return message</t>
  </si>
  <si>
    <t>Message</t>
  </si>
  <si>
    <t>Description</t>
  </si>
  <si>
    <t>Examples</t>
  </si>
  <si>
    <t>A</t>
  </si>
  <si>
    <t>E</t>
  </si>
  <si>
    <t>String received:</t>
  </si>
  <si>
    <t>Reboot</t>
  </si>
  <si>
    <t>Example return message from the coffee machine on command message</t>
  </si>
  <si>
    <t>String to send</t>
  </si>
  <si>
    <t>Return message</t>
  </si>
  <si>
    <t>Block</t>
  </si>
  <si>
    <t>55555500191900000000280028CA01000001000180000000000000</t>
  </si>
  <si>
    <t>Add 80 ml water at 85 degrees, 5 ml/s, using both heaters</t>
    <phoneticPr fontId="0" type="noConversion"/>
  </si>
  <si>
    <t>Block 3</t>
  </si>
  <si>
    <t>5F005500140000000000280000D001000001000100000000000000</t>
  </si>
  <si>
    <t>Make coffee at 95 degrees, 2 ml/s, piston 1, 40 ml of water</t>
    <phoneticPr fontId="0" type="noConversion"/>
  </si>
  <si>
    <t>Block 2</t>
  </si>
  <si>
    <t>5F0055001E0000000000050000D001000001000100000000000000</t>
  </si>
  <si>
    <t>Premoist at 95 degrees, 3 ml/s, piston 1, Pump 1, 5 ml water</t>
    <phoneticPr fontId="0" type="noConversion"/>
  </si>
  <si>
    <t>Block 1</t>
  </si>
  <si>
    <t>000050000000000000000000000001000000000200000000000000</t>
  </si>
  <si>
    <t>Preheat brewer at 80 degrees</t>
  </si>
  <si>
    <t>Block 0</t>
  </si>
  <si>
    <t xml:space="preserve">Example: </t>
  </si>
  <si>
    <t>F</t>
  </si>
  <si>
    <t>Example return message</t>
  </si>
  <si>
    <t>Recipe block</t>
  </si>
  <si>
    <t>Data block</t>
  </si>
  <si>
    <t xml:space="preserve">
01 = CoffeeRecipe, 02 = MilkRecipe, 03 = Water recipe
</t>
  </si>
  <si>
    <t>Version</t>
  </si>
  <si>
    <t>When</t>
  </si>
  <si>
    <t>Who</t>
  </si>
  <si>
    <t>Revision</t>
  </si>
  <si>
    <t>V1.0</t>
  </si>
  <si>
    <t>RAW</t>
  </si>
  <si>
    <t>Preliminary distribution</t>
  </si>
  <si>
    <t xml:space="preserve">RAW </t>
  </si>
  <si>
    <t>Rene Weimar</t>
  </si>
  <si>
    <t>static const uint8_t table_crc8[256] =</t>
  </si>
  <si>
    <t>{</t>
  </si>
  <si>
    <t>0x00,0x07,0x0E,0x09,0x1C,0x1B,0x12,0x15,0x38,0x3F,0x36,0x31,0x24,0x23,0x2A,0x2D,</t>
  </si>
  <si>
    <t>0x70,0x77,0x7E,0x79,0x6C,0x6B,0x62,0x65,0x48,0x4F,0x46,0x41,0x54,0x53,0x5A,0x5D,</t>
  </si>
  <si>
    <t>0xE0,0xE7,0xEE,0xE9,0xFC,0xFB,0xF2,0xF5,0xD8,0xDF,0xD6,0xD1,0xC4,0xC3,0xCA,0xCD,</t>
  </si>
  <si>
    <t>0x90,0x97,0x9E,0x99,0x8C,0x8B,0x82,0x85,0xA8,0xAF,0xA6,0xA1,0xB4,0xB3,0xBA,0xBD,</t>
  </si>
  <si>
    <t>0xC7,0xC0,0xC9,0xCE,0xDB,0xDC,0xD5,0xD2,0xFF,0xF8,0xF1,0xF6,0xE3,0xE4,0xED,0xEA,</t>
  </si>
  <si>
    <t>0xB7,0xB0,0xB9,0xBE,0xAB,0xAC,0xA5,0xA2,0x8F,0x88,0x81,0x86,0x93,0x94,0x9D,0x9A,</t>
  </si>
  <si>
    <t>0x27,0x20,0x29,0x2E,0x3B,0x3C,0x35,0x32,0x1F,0x18,0x11,0x16,0x03,0x04,0x0D,0x0A,</t>
  </si>
  <si>
    <t>0x57,0x50,0x59,0x5E,0x4B,0x4C,0x45,0x42,0x6F,0x68,0x61,0x66,0x73,0x74,0x7D,0x7A,</t>
  </si>
  <si>
    <t>0x89,0x8E,0x87,0x80,0x95,0x92,0x9B,0x9C,0xB1,0xB6,0xBF,0xB8,0xAD,0xAA,0xA3,0xA4,</t>
  </si>
  <si>
    <t>0xF9,0xFE,0xF7,0xF0,0xE5,0xE2,0xEB,0xEC,0xC1,0xC6,0xCF,0xC8,0xDD,0xDA,0xD3,0xD4,</t>
  </si>
  <si>
    <t>0x69,0x6E,0x67,0x60,0x75,0x72,0x7B,0x7C,0x51,0x56,0x5F,0x58,0x4D,0x4A,0x43,0x44,</t>
  </si>
  <si>
    <t>0x19,0x1E,0x17,0x10,0x05,0x02,0x0B,0x0C,0x21,0x26,0x2F,0x28,0x3D,0x3A,0x33,0x34,</t>
  </si>
  <si>
    <t>0x4E,0x49,0x40,0x47,0x52,0x55,0x5C,0x5B,0x76,0x71,0x78,0x7F,0x6A,0x6D,0x64,0x63,</t>
  </si>
  <si>
    <t>0x3E,0x39,0x30,0x37,0x22,0x25,0x2C,0x2B,0x06,0x01,0x08,0x0F,0x1A,0x1D,0x14,0x13,</t>
  </si>
  <si>
    <t>0xAE,0xA9,0xA0,0xA7,0xB2,0xB5,0xBC,0xBB,0x96,0x91,0x98,0x9F,0x8A,0x8D,0x84,0x83,</t>
  </si>
  <si>
    <t>0xDE,0xD9,0xD0,0xD7,0xC2,0xC5,0xCC,0xCB,0xE6,0xE1,0xE8,0xEF,0xFA,0xFD,0xF4,0xF3</t>
  </si>
  <si>
    <t>};</t>
  </si>
  <si>
    <t>//-----------------------------------------------------------------------------</t>
  </si>
  <si>
    <t>//! \brief      Calculates the CRC value of an array</t>
  </si>
  <si>
    <t>//! \details    Skips the CRC byte, as this is not know during the calculation</t>
  </si>
  <si>
    <t>//! \param[in]  uint8_t *pData</t>
  </si>
  <si>
    <t>Pointer to the array</t>
  </si>
  <si>
    <t>//! \param[in]  uint8_t size</t>
  </si>
  <si>
    <t>Length of the array</t>
  </si>
  <si>
    <t>//! \param[out]</t>
  </si>
  <si>
    <t>uint8_t</t>
  </si>
  <si>
    <t>crc</t>
  </si>
  <si>
    <t>CRC value that is calculated</t>
  </si>
  <si>
    <t>uint8_t CalculateCRC8(uint8_t *pData, uint8_t size)</t>
  </si>
  <si>
    <t>for (uint8_t i = 0; i &lt; size; i++)</t>
  </si>
  <si>
    <t>return crc;</t>
  </si>
  <si>
    <t>}</t>
  </si>
  <si>
    <t>ReturnMessage</t>
  </si>
  <si>
    <t>ReceiveMessage</t>
  </si>
  <si>
    <t>/071171</t>
  </si>
  <si>
    <t>/09118B01</t>
  </si>
  <si>
    <t>V1.1</t>
  </si>
  <si>
    <t>/0B01DA0100</t>
  </si>
  <si>
    <t>/41010E0400000050000000000000000000000001000000000200000000000000</t>
  </si>
  <si>
    <t>--&gt;</t>
  </si>
  <si>
    <t>NOTE:</t>
  </si>
  <si>
    <t>FIRST ENTER THE RECEIVE MESSAGE (FROM LINUX TO EMBEDDED) REGARDLESS OF CORRECT CRC OR NOT</t>
  </si>
  <si>
    <t>ONLY AFTER PRESSING THE CALCULATE BUTTON, THE VALUES IN YELLOW ARE CORRECT</t>
  </si>
  <si>
    <t>THE RETURNMESSAGE IS GENERATED AUTOMATICALLY</t>
  </si>
  <si>
    <t>NEXT PRESS CALCULATE BUTTON AND READOUT TE YELLOW FIELDS</t>
  </si>
  <si>
    <t>Fixed CRC calculation. Added CRC calculator in CRC calculator sheet</t>
  </si>
  <si>
    <t>Example command message: Stop Coffee</t>
  </si>
  <si>
    <t>V1.2</t>
  </si>
  <si>
    <t>Positions</t>
  </si>
  <si>
    <t>Total positions 1 recipe max</t>
  </si>
  <si>
    <t>Pos Nr.</t>
  </si>
  <si>
    <t>Revision UART protocol</t>
  </si>
  <si>
    <t>12 -</t>
  </si>
  <si>
    <t>Revision of the used UART protocol</t>
  </si>
  <si>
    <t>10 -</t>
  </si>
  <si>
    <t>Length of command (Include Start character and CRC length)</t>
  </si>
  <si>
    <t>Character</t>
  </si>
  <si>
    <t>Type of message</t>
  </si>
  <si>
    <t>Start pos</t>
  </si>
  <si>
    <t>End pos</t>
  </si>
  <si>
    <t>Total Positions 1 recipe max</t>
  </si>
  <si>
    <t>B</t>
  </si>
  <si>
    <t>/10811FD</t>
  </si>
  <si>
    <t>/10A117601</t>
  </si>
  <si>
    <t>/10A14B601</t>
  </si>
  <si>
    <t>/10A12CB01</t>
  </si>
  <si>
    <t>/10A15DD01</t>
  </si>
  <si>
    <t>/10A239A01</t>
  </si>
  <si>
    <t>01 = Success,
11 = CRC error, 12 = Unknown type, 13 = Unable to execute,
14 = Block nr error, 15 = UART wrong protocol revision</t>
  </si>
  <si>
    <t>/10812F4</t>
  </si>
  <si>
    <t>/10814E6</t>
  </si>
  <si>
    <t>/10815E1</t>
  </si>
  <si>
    <t>/10822CB</t>
  </si>
  <si>
    <t>/10823CC</t>
  </si>
  <si>
    <t>/10831D7</t>
  </si>
  <si>
    <t>UART revision</t>
  </si>
  <si>
    <t>Get all Data</t>
  </si>
  <si>
    <t>Data1Byte3</t>
  </si>
  <si>
    <t>Data1Byte2</t>
  </si>
  <si>
    <t>Data2Byte3</t>
  </si>
  <si>
    <t>Data2Byte2</t>
  </si>
  <si>
    <t>Data3Byte3</t>
  </si>
  <si>
    <t>Data3Byte2</t>
  </si>
  <si>
    <t>Data1Byte4 (MSB)</t>
  </si>
  <si>
    <t>Data1Byte1 (LSB)</t>
  </si>
  <si>
    <t>Data2Byte4 (MSB)</t>
  </si>
  <si>
    <t>Data2Byte1 (LSB)</t>
  </si>
  <si>
    <t>Data3Byte4 (MSB)</t>
  </si>
  <si>
    <t>Data3Byte1 (LSB)</t>
  </si>
  <si>
    <t>Example return message from the coffee machine on command 0x31 message returning 3 16 bit values (in this case random temperatures)</t>
  </si>
  <si>
    <t>C</t>
  </si>
  <si>
    <t>/11631EB01123456789ABC</t>
  </si>
  <si>
    <t>EB</t>
  </si>
  <si>
    <t>9ABC</t>
  </si>
  <si>
    <t>x 0,01 degrees</t>
  </si>
  <si>
    <t>Data 1</t>
  </si>
  <si>
    <t>Data 2</t>
  </si>
  <si>
    <t>Data 3</t>
  </si>
  <si>
    <t>A recipe will be sent block per block. The next block will be sent after succes return message (Position 8 = 0, Position 9 = 1)</t>
  </si>
  <si>
    <t>Added LED command. Added revision UART in command string. Modified CRC calculation</t>
  </si>
  <si>
    <t>/14201C704015F0055001E0000000000050000D001000001000100000000000000</t>
  </si>
  <si>
    <t>/14201120400000050000000000000000000000001000000000200000000000000</t>
  </si>
  <si>
    <t>/142016B04025F005500140000000000280000D001000001000100000000000000</t>
  </si>
  <si>
    <t>/142014C040355555500191900000000280028CA01000001000180000000000000</t>
  </si>
  <si>
    <t>LED command</t>
  </si>
  <si>
    <t>Data block 1</t>
  </si>
  <si>
    <t>Example</t>
  </si>
  <si>
    <t>set LED 0 to blinking RED, 500ms on and 1000 ms off, intensity 255 (full)</t>
  </si>
  <si>
    <t>02FF0000FF01F403E800</t>
  </si>
  <si>
    <t>set LED 1 to breathing White, 10ms step time, intensity 100</t>
  </si>
  <si>
    <t>13FFFFFF64000000000A</t>
  </si>
  <si>
    <t>set LED 2 On blue, intensity 50</t>
  </si>
  <si>
    <t>210000FF320000000000</t>
  </si>
  <si>
    <t>/10C41810100</t>
  </si>
  <si>
    <t>/10C41860101</t>
  </si>
  <si>
    <t>/10C418F0102</t>
  </si>
  <si>
    <t>String to send:</t>
  </si>
  <si>
    <t>set LED 0 to blinking RED, 500ms on and 1000 ms off, intensity 255</t>
  </si>
  <si>
    <t>/120412D010002FF0000FF01F403E800</t>
  </si>
  <si>
    <t>D</t>
  </si>
  <si>
    <t xml:space="preserve">Example parameters to set LED: </t>
  </si>
  <si>
    <t>Block to send</t>
  </si>
  <si>
    <t>LED 0</t>
  </si>
  <si>
    <t>LED 1</t>
  </si>
  <si>
    <t>LED 2</t>
  </si>
  <si>
    <t>/12041E0010113FFFFFF64000000000A</t>
  </si>
  <si>
    <t>/12041060102210000FF320000000000</t>
  </si>
  <si>
    <t>All LED are sent individually. So if you want to set all LED's in the coffee machine, it requires 3 messages. Since LED are not related, like recipes the block number is always 0 and nrofblocks is always 1</t>
  </si>
  <si>
    <t>See 80482201_Parameters &amp; recipe definition coffee machine V1.3 or higher, TAB "parameters LED"</t>
  </si>
  <si>
    <t>V1.3</t>
  </si>
  <si>
    <t>Code</t>
  </si>
  <si>
    <t>Group</t>
  </si>
  <si>
    <t>MSB</t>
  </si>
  <si>
    <t>LSB</t>
  </si>
  <si>
    <t>Unused</t>
  </si>
  <si>
    <t>Get all data</t>
  </si>
  <si>
    <t>Get only the process data</t>
  </si>
  <si>
    <t>Get only the physical data</t>
  </si>
  <si>
    <t>Settings</t>
  </si>
  <si>
    <t>Set LED</t>
  </si>
  <si>
    <t>Recipe Actions</t>
  </si>
  <si>
    <t>Machine actions</t>
  </si>
  <si>
    <t>Recipes sending</t>
  </si>
  <si>
    <t>See "Parameters &amp; Recipes coffee machine Vx.x.xlsm", tab "parameters recipe"</t>
  </si>
  <si>
    <t>Data parameters</t>
  </si>
  <si>
    <t>None</t>
  </si>
  <si>
    <t>See "Parameters &amp; Recipes coffee machine Vx.x.xlsm", tab "parameters LED"</t>
  </si>
  <si>
    <t>UART message</t>
  </si>
  <si>
    <t>Variable</t>
  </si>
  <si>
    <t>See tab "Command codes"</t>
  </si>
  <si>
    <t>To machine</t>
  </si>
  <si>
    <t>From machine</t>
  </si>
  <si>
    <t>variable</t>
  </si>
  <si>
    <t>/10851A9</t>
  </si>
  <si>
    <t>/10A512E01</t>
  </si>
  <si>
    <t>/10852A0</t>
  </si>
  <si>
    <t>/10A529301</t>
  </si>
  <si>
    <t>/10853A7</t>
  </si>
  <si>
    <t>/10A53F801</t>
  </si>
  <si>
    <t>/12041xx0100yyyy</t>
  </si>
  <si>
    <t>/10832DE</t>
  </si>
  <si>
    <t>/10833D9</t>
  </si>
  <si>
    <t>/10821C2</t>
  </si>
  <si>
    <t>Partition</t>
  </si>
  <si>
    <t>if ((i!=6) &amp;&amp; (i!=7)) //Don't calculate the CRC value itself</t>
  </si>
  <si>
    <t>uint8_t crc = 0;</t>
  </si>
  <si>
    <t>uint8_t AsciiCode;</t>
  </si>
  <si>
    <t>if (AsciiCode &gt; 97) AsciiCode -= 32;</t>
  </si>
  <si>
    <t>crc = table_crc8[crc ^ AsciiCode];</t>
  </si>
  <si>
    <t>AsciiCode = pData++;</t>
  </si>
  <si>
    <t>Added operation commands to switch machine on and in standby
Updated CRC calculation to allow non-capital letters for hex value
Added tab Command codes</t>
  </si>
  <si>
    <t>Data consumable</t>
  </si>
  <si>
    <t>V1.4</t>
  </si>
  <si>
    <t>See tab "return codes"</t>
  </si>
  <si>
    <t>CRC error</t>
  </si>
  <si>
    <t>Ok message</t>
  </si>
  <si>
    <t>Errors</t>
  </si>
  <si>
    <t>Unknown message type</t>
  </si>
  <si>
    <t>Message execution timed out</t>
  </si>
  <si>
    <t>Wrong block number sent</t>
  </si>
  <si>
    <t>Wrong UART protocol used</t>
  </si>
  <si>
    <t>Added tab Return codes</t>
  </si>
  <si>
    <t>Cannot start recipe. No valid recipe available</t>
  </si>
  <si>
    <t>Get only the device data</t>
  </si>
  <si>
    <t>Data</t>
  </si>
  <si>
    <t>/10834CC</t>
  </si>
  <si>
    <t xml:space="preserve">See parameters&amp;setting tab </t>
  </si>
  <si>
    <t>See parameters&amp;setting tab ProcessData</t>
  </si>
  <si>
    <t>See parameters&amp;setting tab PysicalData</t>
  </si>
  <si>
    <t>See parameters&amp;setting tab DeviceData</t>
  </si>
  <si>
    <t>See "Parameters &amp; Recipes Grinder Vx.x.xlsm", tab "parameters recipe"</t>
  </si>
  <si>
    <t>Get Consumable Data</t>
  </si>
  <si>
    <t>Switch on (IDLE)</t>
  </si>
  <si>
    <t>Switch off (STANDBY)</t>
  </si>
  <si>
    <t>Recipe is not active, so no need to be stopped</t>
  </si>
  <si>
    <t>V1.5</t>
  </si>
  <si>
    <t>Added return codes, Changed name of commands</t>
  </si>
  <si>
    <t>V1.6</t>
  </si>
  <si>
    <t>Deleted water recipe. Coffee recipe -&gt; Recipe circuit 1, milk recipe -&gt; Recipe circuit 2</t>
  </si>
  <si>
    <t>Send recipe 1</t>
  </si>
  <si>
    <t>Send recipe 2</t>
  </si>
  <si>
    <t>Start recipe 1</t>
  </si>
  <si>
    <t>Start recipe 2</t>
  </si>
  <si>
    <t>Stop recipe 1</t>
  </si>
  <si>
    <t>Stop recipe 2</t>
  </si>
  <si>
    <t>Send grind recipe for portafilter 1</t>
  </si>
  <si>
    <t>Send grind recipe for portafilter 2</t>
  </si>
  <si>
    <t>Send grind recipe for portafilter 3</t>
  </si>
  <si>
    <t>Send grind recipe for portafilter 4</t>
  </si>
  <si>
    <t>No zerocross detected</t>
  </si>
  <si>
    <t>V1.7</t>
  </si>
  <si>
    <t>V1.8</t>
  </si>
  <si>
    <t>Changed recipe coffee, milk, to 1 and 2</t>
  </si>
  <si>
    <t>/1086196</t>
  </si>
  <si>
    <t>/10854B2</t>
  </si>
  <si>
    <t>/10A54EE01</t>
  </si>
  <si>
    <t>Send recipe 3</t>
  </si>
  <si>
    <t>Note: This is the preheat recipe. Only H3 and Settime are available and only 1 block</t>
  </si>
  <si>
    <t>Stop recipe 3</t>
  </si>
  <si>
    <t>/10816E8</t>
  </si>
  <si>
    <t>/10813F3</t>
  </si>
  <si>
    <t>Start recipe 3</t>
  </si>
  <si>
    <t>/10A13A001</t>
  </si>
  <si>
    <t>/10A166001</t>
  </si>
  <si>
    <t>Added error message. Added preheat recipe and start and stop commands</t>
  </si>
  <si>
    <t>V1.9</t>
  </si>
  <si>
    <t>Send Consumable Data</t>
  </si>
  <si>
    <t>/108629F</t>
  </si>
  <si>
    <t>/12042xx0100yyyy</t>
  </si>
  <si>
    <t>Get dummymode data</t>
  </si>
  <si>
    <t>Set dummymode</t>
  </si>
  <si>
    <t>See "Parameters &amp; Recipes coffee machine Vx.x.xlsm", tab "parameters Dummymode"</t>
  </si>
  <si>
    <t>/10835CB</t>
  </si>
  <si>
    <t>Set Dosing Parameters</t>
  </si>
  <si>
    <t>Get dosing parameters</t>
  </si>
  <si>
    <t>/10836C2</t>
  </si>
  <si>
    <t>See parameters&amp;setting tab DummyModeData</t>
  </si>
  <si>
    <t>See parameters&amp;setting tab DosingData</t>
  </si>
  <si>
    <t>/12043xx0100yyyy</t>
  </si>
  <si>
    <t>/10C424101</t>
  </si>
  <si>
    <t>/10C432A01</t>
  </si>
  <si>
    <t>/10C41FC01</t>
  </si>
  <si>
    <t>See "Parameters &amp; Recipes coffee machine Vx.x.xlsm", tab "parameters Dosing Data"</t>
  </si>
  <si>
    <t>Added send RFID data. Added Dosing parameter commands</t>
  </si>
  <si>
    <t>Example command message: Send recipe</t>
  </si>
  <si>
    <t>/10824D9</t>
  </si>
  <si>
    <t>Example command message: Send partition Image 1</t>
  </si>
  <si>
    <t>Recipe block of 128 Ascii = 64 bytes code</t>
  </si>
  <si>
    <t xml:space="preserve">Nr Of Blocks LSB </t>
  </si>
  <si>
    <t>Nr Of Blocks</t>
  </si>
  <si>
    <t>Current Block</t>
  </si>
  <si>
    <t xml:space="preserve">Example : 50K code </t>
  </si>
  <si>
    <t>Bytes</t>
  </si>
  <si>
    <t>Blocks</t>
  </si>
  <si>
    <t>Total number of blocks to be sent</t>
  </si>
  <si>
    <t>V1.10</t>
  </si>
  <si>
    <t>Changed update commands. Added OTA example</t>
  </si>
  <si>
    <t>/10825DE</t>
  </si>
  <si>
    <t>Version MSB</t>
  </si>
  <si>
    <t>Version Block</t>
  </si>
  <si>
    <t>Version Block LSB</t>
  </si>
  <si>
    <t>Current version that is being sent</t>
  </si>
  <si>
    <t>20-</t>
  </si>
  <si>
    <t>Get Partition data</t>
  </si>
  <si>
    <t>Status message MSB</t>
  </si>
  <si>
    <t>Status message LSB</t>
  </si>
  <si>
    <t>Current block that was being sent</t>
  </si>
  <si>
    <t>Current version that was being sent</t>
  </si>
  <si>
    <t>Wrong version sent</t>
  </si>
  <si>
    <t>Example get partition data</t>
  </si>
  <si>
    <t>See tab UART OTA Example</t>
  </si>
  <si>
    <t>Application version</t>
  </si>
  <si>
    <t>Upgrade Last  Block MSB</t>
  </si>
  <si>
    <t>Upgrade Last  Block</t>
  </si>
  <si>
    <t>Upgrade Last  Block LSB</t>
  </si>
  <si>
    <t>UpgradeStatus MSB</t>
  </si>
  <si>
    <t xml:space="preserve">UpgradeStatus </t>
  </si>
  <si>
    <t>UpgradeStatus</t>
  </si>
  <si>
    <t>UpgradeStatus LSB</t>
  </si>
  <si>
    <t>Upgrade NrOfBlocks MSB</t>
  </si>
  <si>
    <t>Upgrade NrOfBlocks</t>
  </si>
  <si>
    <t>Upgrade NrOfBlocks LSB</t>
  </si>
  <si>
    <t>Upgrade version</t>
  </si>
  <si>
    <t>Upgrade last block that was sent</t>
  </si>
  <si>
    <t>Upgrade total nr of blocks to be sent</t>
  </si>
  <si>
    <t xml:space="preserve"> NrOfBlocks MSB</t>
  </si>
  <si>
    <t xml:space="preserve"> NrOfBlocks</t>
  </si>
  <si>
    <t xml:space="preserve"> NrOfBlocks LSB</t>
  </si>
  <si>
    <t>Total nr of blocks to be sent</t>
  </si>
  <si>
    <t xml:space="preserve">Status </t>
  </si>
  <si>
    <t>Send partition block application (or Factory = 0x22)</t>
  </si>
  <si>
    <t>Major Version</t>
  </si>
  <si>
    <t>Minor Version</t>
  </si>
  <si>
    <t>BugFix Version MSB</t>
  </si>
  <si>
    <t>BugFix Version LSB</t>
  </si>
  <si>
    <t>Upgrade Major Version</t>
  </si>
  <si>
    <t>Upgrade Minor Version</t>
  </si>
  <si>
    <t>Upgrade BugFix Version MSB</t>
  </si>
  <si>
    <t>Upgrade BugFix Version LSB</t>
  </si>
  <si>
    <t>Application Major Version</t>
  </si>
  <si>
    <t>Application Minor Version</t>
  </si>
  <si>
    <t>Application BugFix Version MSB</t>
  </si>
  <si>
    <t>Application BugFix Version LSB</t>
  </si>
  <si>
    <t>Image is not VALID</t>
  </si>
  <si>
    <t>ApplicationStatus MSB</t>
  </si>
  <si>
    <t>ApplicationStatus</t>
  </si>
  <si>
    <t>ApplicationStatus LSB</t>
  </si>
  <si>
    <t xml:space="preserve">0 = Undefined
1 = Valid
2 = Updating
</t>
  </si>
  <si>
    <t>Note: The bootloader only sends, it cannot receive messages.</t>
  </si>
  <si>
    <t>Current page MSB</t>
  </si>
  <si>
    <t>Current Page</t>
  </si>
  <si>
    <t>Current Page LSB</t>
  </si>
  <si>
    <t xml:space="preserve"> NrOfPages MSB</t>
  </si>
  <si>
    <t xml:space="preserve"> NrOfPages</t>
  </si>
  <si>
    <t xml:space="preserve"> NrOfPages LSB</t>
  </si>
  <si>
    <t>Current page that is written</t>
  </si>
  <si>
    <t>Total nr of pages to be written</t>
  </si>
  <si>
    <t>Get Bootloader Status</t>
  </si>
  <si>
    <t>Example Bootloader progress return message</t>
  </si>
  <si>
    <t>Example Bootloader status return message</t>
  </si>
  <si>
    <t>=</t>
  </si>
  <si>
    <t>See Return codes</t>
  </si>
  <si>
    <t>Bootloader status MSB</t>
  </si>
  <si>
    <t>Bootloader status</t>
  </si>
  <si>
    <t>Bootloader status LSB</t>
  </si>
  <si>
    <t xml:space="preserve"> Application status MSB</t>
  </si>
  <si>
    <t xml:space="preserve"> Application status</t>
  </si>
  <si>
    <t xml:space="preserve"> Application status LSB</t>
  </si>
  <si>
    <t>See "Parameters &amp; Recipes coffee machine Vx.x.xlsm", tab "parameters Partition"</t>
  </si>
  <si>
    <t xml:space="preserve">        UNDEFINED = 0
        VALID = 1
        UPDATINGIMAGE = 2
        UPDATINGFACTORY = 3
        IMAGEUPDATED = 4
        FACTORYUPDATED = 5</t>
  </si>
  <si>
    <t>Send bootloader status</t>
  </si>
  <si>
    <t>Send bootloader info</t>
  </si>
  <si>
    <t>Start application</t>
  </si>
  <si>
    <t>Send partition block</t>
  </si>
  <si>
    <t>Upgrade application</t>
  </si>
  <si>
    <t>/10826xxyyyy</t>
  </si>
  <si>
    <t>Get bootloader info</t>
  </si>
  <si>
    <t xml:space="preserve">Set partition status </t>
  </si>
  <si>
    <t>V1.11</t>
  </si>
  <si>
    <t>Changed update commands. Added Get partition info</t>
  </si>
  <si>
    <t>V1.12</t>
  </si>
  <si>
    <t>Modified return message from SendPartitionBlock</t>
  </si>
  <si>
    <t>Get Backup Status</t>
  </si>
  <si>
    <t>/10827D0</t>
  </si>
  <si>
    <t>Get Restore Status</t>
  </si>
  <si>
    <t>/10828FD</t>
  </si>
  <si>
    <t>Backup progress MSB</t>
  </si>
  <si>
    <t>Backup progress</t>
  </si>
  <si>
    <t>Backup progress LSB</t>
  </si>
  <si>
    <t>Backup progress in %</t>
  </si>
  <si>
    <t>Send Backup progress</t>
  </si>
  <si>
    <t>Example Bootloader backup prgress return message</t>
  </si>
  <si>
    <t>Example Bootloader restore return message</t>
  </si>
  <si>
    <t>Send Restore progress</t>
  </si>
  <si>
    <t>Restore progress MSB</t>
  </si>
  <si>
    <t>Restore progress in %</t>
  </si>
  <si>
    <t>Restore progress</t>
  </si>
  <si>
    <t>Restore progress LSB</t>
  </si>
  <si>
    <t>/10829FA</t>
  </si>
  <si>
    <t>Progress</t>
  </si>
  <si>
    <t>See tab UART get partition info</t>
  </si>
  <si>
    <t>See tab bootloader</t>
  </si>
  <si>
    <t>Restore Application</t>
  </si>
  <si>
    <t>RollBack Major Version</t>
  </si>
  <si>
    <t>RollBack Minor Version</t>
  </si>
  <si>
    <t>RollBack BugFix Version MSB</t>
  </si>
  <si>
    <t>RollBack BugFix Version LSB</t>
  </si>
  <si>
    <t>RollBackStatus MSB</t>
  </si>
  <si>
    <t>RollBackStatus</t>
  </si>
  <si>
    <t>RollBackStatus LSB</t>
  </si>
  <si>
    <t>Get Settings</t>
  </si>
  <si>
    <t>/10837C5</t>
  </si>
  <si>
    <t>See parameters&amp;setting tab SettingData</t>
  </si>
  <si>
    <t>To be added. Set temperatures etc.</t>
  </si>
  <si>
    <t>Application status</t>
  </si>
  <si>
    <t>Verification error copied block</t>
  </si>
  <si>
    <t>Page erase error</t>
  </si>
  <si>
    <t>Create roll back partition error</t>
  </si>
  <si>
    <t>V1.13</t>
  </si>
  <si>
    <t>Get machine parameters</t>
  </si>
  <si>
    <t>Set machine parameters</t>
  </si>
  <si>
    <t>/10838E8</t>
  </si>
  <si>
    <t>/10839EF</t>
  </si>
  <si>
    <t>See parameters&amp;setting tab MachineParameters</t>
  </si>
  <si>
    <t>FlowMeter1Yield MSB</t>
  </si>
  <si>
    <t>FlowMeter1Yield</t>
  </si>
  <si>
    <t>FlowMeter1Yield LSB</t>
  </si>
  <si>
    <t>Flow meter 1 ul / pulse</t>
  </si>
  <si>
    <t>FlowMeter2Yield MSB</t>
  </si>
  <si>
    <t>FlowMeter2Yield</t>
  </si>
  <si>
    <t>FlowMeter2Yield LSB</t>
  </si>
  <si>
    <t>Flow meter 2 ul / pulse</t>
  </si>
  <si>
    <t>/10A390B01</t>
  </si>
  <si>
    <t>Image is too big</t>
  </si>
  <si>
    <t>Image is corrupt</t>
  </si>
  <si>
    <t>Added GetSettings and SetSettings command. Added image error codes</t>
  </si>
  <si>
    <t>/10A291D01</t>
  </si>
  <si>
    <t>/10A22F101</t>
  </si>
  <si>
    <t>/10C012201</t>
  </si>
  <si>
    <t>/10C01A401</t>
  </si>
  <si>
    <t>V1.14</t>
  </si>
  <si>
    <t>Protocol change send recipe. Removed current block in return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</si>
</sst>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6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34"/>
      <scheme val="minor"/>
    </font>
    <font>
      <sz val="8"/>
      <name val="Calibri"/>
      <family val="2"/>
      <charset val="134"/>
      <scheme val="minor"/>
    </font>
    <font>
      <sz val="14"/>
      <color theme="1"/>
      <name val="Calibri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65"/>
        <bgColor auto="1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>
      <alignment vertical="center"/>
    </xf>
    <xf numFmtId="0" fontId="1" fillId="0" borderId="3" xfId="0" quotePrefix="1" applyFont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1" fillId="0" borderId="2" xfId="0" quotePrefix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2" borderId="5" xfId="0" applyFont="1" applyFill="1" applyBorder="1" applyAlignment="1">
      <alignment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2" borderId="5" xfId="0" applyFont="1" applyFill="1" applyBorder="1">
      <alignment vertical="center"/>
    </xf>
    <xf numFmtId="0" fontId="2" fillId="3" borderId="6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/>
    </xf>
    <xf numFmtId="0" fontId="2" fillId="3" borderId="6" xfId="0" applyFont="1" applyFill="1" applyBorder="1">
      <alignment vertical="center"/>
    </xf>
    <xf numFmtId="0" fontId="1" fillId="0" borderId="0" xfId="0" quotePrefix="1" applyFont="1" applyAlignment="1">
      <alignment horizontal="left" vertical="center"/>
    </xf>
    <xf numFmtId="0" fontId="1" fillId="0" borderId="0" xfId="0" quotePrefix="1" applyFont="1">
      <alignment vertical="center"/>
    </xf>
    <xf numFmtId="0" fontId="1" fillId="0" borderId="2" xfId="0" applyFont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3" borderId="5" xfId="0" applyFill="1" applyBorder="1" applyAlignment="1">
      <alignment horizontal="center" vertical="center"/>
    </xf>
    <xf numFmtId="164" fontId="0" fillId="3" borderId="5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0" fillId="0" borderId="3" xfId="0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5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center" vertical="center"/>
    </xf>
    <xf numFmtId="0" fontId="3" fillId="0" borderId="0" xfId="0" applyFont="1">
      <alignment vertical="center"/>
    </xf>
    <xf numFmtId="49" fontId="0" fillId="0" borderId="0" xfId="0" applyNumberFormat="1" applyAlignment="1" applyProtection="1">
      <alignment horizontal="left" vertical="center"/>
      <protection locked="0"/>
    </xf>
    <xf numFmtId="0" fontId="1" fillId="0" borderId="4" xfId="0" applyFont="1" applyBorder="1" applyAlignment="1">
      <alignment horizontal="center" vertical="center"/>
    </xf>
    <xf numFmtId="0" fontId="1" fillId="0" borderId="8" xfId="0" applyFont="1" applyBorder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>
      <alignment vertical="center"/>
    </xf>
    <xf numFmtId="0" fontId="1" fillId="4" borderId="4" xfId="0" applyFont="1" applyFill="1" applyBorder="1" applyAlignment="1">
      <alignment horizontal="center" vertical="center"/>
    </xf>
    <xf numFmtId="0" fontId="0" fillId="5" borderId="0" xfId="0" quotePrefix="1" applyFill="1">
      <alignment vertical="center"/>
    </xf>
    <xf numFmtId="0" fontId="1" fillId="0" borderId="4" xfId="0" applyFont="1" applyBorder="1" applyAlignment="1">
      <alignment vertical="center" wrapText="1"/>
    </xf>
    <xf numFmtId="0" fontId="1" fillId="0" borderId="4" xfId="0" applyFont="1" applyBorder="1">
      <alignment vertical="center"/>
    </xf>
    <xf numFmtId="0" fontId="0" fillId="0" borderId="2" xfId="0" applyBorder="1" applyAlignment="1">
      <alignment horizontal="center" vertical="center"/>
    </xf>
    <xf numFmtId="0" fontId="1" fillId="0" borderId="2" xfId="0" quotePrefix="1" applyFont="1" applyBorder="1" applyAlignment="1">
      <alignment horizontal="left" vertical="center"/>
    </xf>
    <xf numFmtId="0" fontId="1" fillId="0" borderId="3" xfId="0" quotePrefix="1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12" xfId="0" applyFont="1" applyBorder="1" applyAlignment="1">
      <alignment horizontal="center" vertical="center"/>
    </xf>
    <xf numFmtId="0" fontId="1" fillId="0" borderId="12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 indent="1"/>
    </xf>
    <xf numFmtId="0" fontId="0" fillId="0" borderId="4" xfId="0" applyBorder="1" applyAlignment="1">
      <alignment horizontal="left" vertical="center" indent="1"/>
    </xf>
    <xf numFmtId="0" fontId="5" fillId="3" borderId="6" xfId="0" applyFont="1" applyFill="1" applyBorder="1" applyAlignment="1">
      <alignment horizontal="left" vertical="center" indent="1"/>
    </xf>
    <xf numFmtId="0" fontId="0" fillId="3" borderId="11" xfId="0" applyFill="1" applyBorder="1" applyAlignment="1">
      <alignment horizontal="left" vertical="center" indent="1"/>
    </xf>
    <xf numFmtId="0" fontId="0" fillId="0" borderId="3" xfId="0" quotePrefix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0" fontId="0" fillId="0" borderId="0" xfId="0" quotePrefix="1">
      <alignment vertical="center"/>
    </xf>
    <xf numFmtId="0" fontId="0" fillId="0" borderId="8" xfId="0" applyBorder="1" applyAlignment="1">
      <alignment horizontal="left" vertical="center" indent="1"/>
    </xf>
    <xf numFmtId="0" fontId="1" fillId="0" borderId="4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1" fillId="0" borderId="4" xfId="0" applyFont="1" applyBorder="1">
      <alignment vertical="center"/>
    </xf>
    <xf numFmtId="0" fontId="0" fillId="0" borderId="2" xfId="0" applyBorder="1">
      <alignment vertical="center"/>
    </xf>
    <xf numFmtId="0" fontId="1" fillId="0" borderId="2" xfId="0" applyFont="1" applyBorder="1">
      <alignment vertical="center"/>
    </xf>
    <xf numFmtId="0" fontId="1" fillId="0" borderId="4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7" xfId="0" applyBorder="1" applyAlignment="1">
      <alignment horizontal="left" vertical="center" indent="1"/>
    </xf>
    <xf numFmtId="0" fontId="5" fillId="3" borderId="1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0" fillId="0" borderId="8" xfId="0" applyBorder="1" applyAlignment="1">
      <alignment horizontal="left" vertical="center" indent="1"/>
    </xf>
    <xf numFmtId="0" fontId="0" fillId="0" borderId="11" xfId="0" applyBorder="1" applyAlignment="1">
      <alignment horizontal="left" vertical="center" indent="1"/>
    </xf>
    <xf numFmtId="0" fontId="0" fillId="0" borderId="8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1" xfId="0" applyBorder="1">
      <alignment vertical="center"/>
    </xf>
    <xf numFmtId="0" fontId="0" fillId="0" borderId="2" xfId="0" applyBorder="1" applyAlignment="1">
      <alignment vertical="center" wrapText="1"/>
    </xf>
    <xf numFmtId="0" fontId="1" fillId="0" borderId="11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3" xfId="0" applyFont="1" applyBorder="1">
      <alignment vertical="center"/>
    </xf>
    <xf numFmtId="0" fontId="0" fillId="0" borderId="3" xfId="0" applyBorder="1">
      <alignment vertical="center"/>
    </xf>
    <xf numFmtId="0" fontId="1" fillId="0" borderId="8" xfId="0" applyFont="1" applyBorder="1" applyAlignment="1">
      <alignment vertical="center" wrapText="1"/>
    </xf>
    <xf numFmtId="0" fontId="0" fillId="0" borderId="8" xfId="0" applyBorder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38100</xdr:rowOff>
        </xdr:from>
        <xdr:to>
          <xdr:col>12</xdr:col>
          <xdr:colOff>1847850</xdr:colOff>
          <xdr:row>13</xdr:row>
          <xdr:rowOff>180975</xdr:rowOff>
        </xdr:to>
        <xdr:sp macro="" textlink="">
          <xdr:nvSpPr>
            <xdr:cNvPr id="6145" name="CalculateCRC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09A6-67B0-4D45-9D8E-3F864DE58661}">
  <sheetPr codeName="Sheet2"/>
  <dimension ref="A1:D30"/>
  <sheetViews>
    <sheetView tabSelected="1" workbookViewId="0">
      <selection activeCell="D17" sqref="D17"/>
    </sheetView>
  </sheetViews>
  <sheetFormatPr defaultRowHeight="15"/>
  <cols>
    <col min="1" max="1" width="9.140625" style="39"/>
    <col min="2" max="2" width="13.5703125" style="40" customWidth="1"/>
    <col min="3" max="3" width="9.140625" style="39"/>
    <col min="4" max="4" width="81.5703125" style="41" customWidth="1"/>
  </cols>
  <sheetData>
    <row r="1" spans="1:4">
      <c r="A1" s="26" t="s">
        <v>74</v>
      </c>
      <c r="B1" s="27" t="s">
        <v>75</v>
      </c>
      <c r="C1" s="26" t="s">
        <v>76</v>
      </c>
      <c r="D1" s="28" t="s">
        <v>77</v>
      </c>
    </row>
    <row r="2" spans="1:4">
      <c r="A2" s="29" t="s">
        <v>78</v>
      </c>
      <c r="B2" s="30">
        <v>44681</v>
      </c>
      <c r="C2" s="29" t="s">
        <v>79</v>
      </c>
      <c r="D2" s="31" t="s">
        <v>80</v>
      </c>
    </row>
    <row r="3" spans="1:4">
      <c r="A3" s="32" t="s">
        <v>121</v>
      </c>
      <c r="B3" s="33">
        <v>44707</v>
      </c>
      <c r="C3" s="32" t="s">
        <v>79</v>
      </c>
      <c r="D3" s="34" t="s">
        <v>130</v>
      </c>
    </row>
    <row r="4" spans="1:4">
      <c r="A4" s="32" t="s">
        <v>132</v>
      </c>
      <c r="B4" s="33">
        <v>44715</v>
      </c>
      <c r="C4" s="32" t="s">
        <v>79</v>
      </c>
      <c r="D4" s="35" t="s">
        <v>184</v>
      </c>
    </row>
    <row r="5" spans="1:4" ht="45">
      <c r="A5" s="32" t="s">
        <v>214</v>
      </c>
      <c r="B5" s="33">
        <v>44721</v>
      </c>
      <c r="C5" s="32" t="s">
        <v>79</v>
      </c>
      <c r="D5" s="34" t="s">
        <v>255</v>
      </c>
    </row>
    <row r="6" spans="1:4">
      <c r="A6" s="32" t="s">
        <v>257</v>
      </c>
      <c r="B6" s="33">
        <v>44742</v>
      </c>
      <c r="C6" s="32" t="s">
        <v>79</v>
      </c>
      <c r="D6" s="35" t="s">
        <v>266</v>
      </c>
    </row>
    <row r="7" spans="1:4">
      <c r="A7" s="32" t="s">
        <v>280</v>
      </c>
      <c r="B7" s="33">
        <v>44754</v>
      </c>
      <c r="C7" s="32" t="s">
        <v>79</v>
      </c>
      <c r="D7" s="35" t="s">
        <v>281</v>
      </c>
    </row>
    <row r="8" spans="1:4">
      <c r="A8" s="32" t="s">
        <v>282</v>
      </c>
      <c r="B8" s="33">
        <v>44755</v>
      </c>
      <c r="C8" s="32" t="s">
        <v>79</v>
      </c>
      <c r="D8" s="35" t="s">
        <v>283</v>
      </c>
    </row>
    <row r="9" spans="1:4">
      <c r="A9" s="32" t="s">
        <v>295</v>
      </c>
      <c r="B9" s="33">
        <v>44762</v>
      </c>
      <c r="C9" s="32" t="s">
        <v>79</v>
      </c>
      <c r="D9" s="35" t="s">
        <v>297</v>
      </c>
    </row>
    <row r="10" spans="1:4">
      <c r="A10" s="32" t="s">
        <v>296</v>
      </c>
      <c r="B10" s="33">
        <v>44762</v>
      </c>
      <c r="C10" s="32" t="s">
        <v>79</v>
      </c>
      <c r="D10" s="35" t="s">
        <v>309</v>
      </c>
    </row>
    <row r="11" spans="1:4">
      <c r="A11" s="32" t="s">
        <v>310</v>
      </c>
      <c r="B11" s="33">
        <v>44792</v>
      </c>
      <c r="C11" s="32" t="s">
        <v>79</v>
      </c>
      <c r="D11" s="35" t="s">
        <v>328</v>
      </c>
    </row>
    <row r="12" spans="1:4">
      <c r="A12" s="32" t="s">
        <v>340</v>
      </c>
      <c r="B12" s="33">
        <v>44881</v>
      </c>
      <c r="C12" s="32" t="s">
        <v>79</v>
      </c>
      <c r="D12" s="35" t="s">
        <v>341</v>
      </c>
    </row>
    <row r="13" spans="1:4">
      <c r="A13" s="32" t="s">
        <v>423</v>
      </c>
      <c r="B13" s="33">
        <v>44892</v>
      </c>
      <c r="C13" s="32" t="s">
        <v>79</v>
      </c>
      <c r="D13" s="35" t="s">
        <v>424</v>
      </c>
    </row>
    <row r="14" spans="1:4">
      <c r="A14" s="32" t="s">
        <v>425</v>
      </c>
      <c r="B14" s="33">
        <v>44901</v>
      </c>
      <c r="C14" s="32" t="s">
        <v>79</v>
      </c>
      <c r="D14" s="35" t="s">
        <v>426</v>
      </c>
    </row>
    <row r="15" spans="1:4">
      <c r="A15" s="32" t="s">
        <v>463</v>
      </c>
      <c r="B15" s="33">
        <v>44911</v>
      </c>
      <c r="C15" s="32" t="s">
        <v>79</v>
      </c>
      <c r="D15" s="35" t="s">
        <v>480</v>
      </c>
    </row>
    <row r="16" spans="1:4">
      <c r="A16" s="32" t="s">
        <v>485</v>
      </c>
      <c r="B16" s="33">
        <v>44972</v>
      </c>
      <c r="C16" s="32" t="s">
        <v>79</v>
      </c>
      <c r="D16" s="35" t="s">
        <v>486</v>
      </c>
    </row>
    <row r="17" spans="1:4">
      <c r="A17" s="32"/>
      <c r="B17" s="33"/>
      <c r="C17" s="32"/>
      <c r="D17" s="35"/>
    </row>
    <row r="18" spans="1:4">
      <c r="A18" s="32"/>
      <c r="B18" s="33"/>
      <c r="C18" s="32"/>
      <c r="D18" s="35"/>
    </row>
    <row r="19" spans="1:4">
      <c r="A19" s="32"/>
      <c r="B19" s="33"/>
      <c r="C19" s="32"/>
      <c r="D19" s="35"/>
    </row>
    <row r="20" spans="1:4">
      <c r="A20" s="32"/>
      <c r="B20" s="33"/>
      <c r="C20" s="32"/>
      <c r="D20" s="35"/>
    </row>
    <row r="21" spans="1:4">
      <c r="A21" s="32"/>
      <c r="B21" s="33"/>
      <c r="C21" s="32"/>
      <c r="D21" s="35"/>
    </row>
    <row r="22" spans="1:4">
      <c r="A22" s="32"/>
      <c r="B22" s="33"/>
      <c r="C22" s="32"/>
      <c r="D22" s="35"/>
    </row>
    <row r="23" spans="1:4">
      <c r="A23" s="32"/>
      <c r="B23" s="33"/>
      <c r="C23" s="32"/>
      <c r="D23" s="35"/>
    </row>
    <row r="24" spans="1:4">
      <c r="A24" s="32"/>
      <c r="B24" s="33"/>
      <c r="C24" s="32"/>
      <c r="D24" s="35"/>
    </row>
    <row r="25" spans="1:4">
      <c r="A25" s="32"/>
      <c r="B25" s="33"/>
      <c r="C25" s="32"/>
      <c r="D25" s="35"/>
    </row>
    <row r="26" spans="1:4">
      <c r="A26" s="32"/>
      <c r="B26" s="33"/>
      <c r="C26" s="32"/>
      <c r="D26" s="35"/>
    </row>
    <row r="27" spans="1:4">
      <c r="A27" s="36"/>
      <c r="B27" s="37"/>
      <c r="C27" s="36"/>
      <c r="D27" s="38"/>
    </row>
    <row r="30" spans="1:4">
      <c r="A30" s="39" t="s">
        <v>81</v>
      </c>
      <c r="B30" s="40" t="s">
        <v>82</v>
      </c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A323-4494-4589-8C5A-1B64DF8EE328}">
  <sheetPr codeName="Sheet3"/>
  <dimension ref="A1:U36"/>
  <sheetViews>
    <sheetView topLeftCell="A13" workbookViewId="0">
      <selection activeCell="B33" sqref="B33"/>
    </sheetView>
  </sheetViews>
  <sheetFormatPr defaultRowHeight="15"/>
  <cols>
    <col min="1" max="1" width="9.140625" style="3"/>
    <col min="2" max="2" width="27.7109375" style="1" bestFit="1" customWidth="1"/>
    <col min="3" max="3" width="10.140625" style="1" bestFit="1" customWidth="1"/>
    <col min="4" max="5" width="10" style="3" customWidth="1"/>
    <col min="6" max="7" width="9.140625" style="1"/>
    <col min="8" max="8" width="11.7109375" style="1" bestFit="1" customWidth="1"/>
    <col min="9" max="9" width="9.42578125" style="1" bestFit="1" customWidth="1"/>
    <col min="10" max="10" width="62.42578125" style="1" customWidth="1"/>
    <col min="11" max="11" width="9.140625" style="1"/>
    <col min="12" max="12" width="9.140625" style="3"/>
    <col min="13" max="13" width="23.7109375" style="1" customWidth="1"/>
    <col min="14" max="18" width="9.140625" style="1"/>
    <col min="19" max="19" width="11.7109375" style="1" bestFit="1" customWidth="1"/>
    <col min="20" max="20" width="16.85546875" style="1" customWidth="1"/>
    <col min="21" max="21" width="66.42578125" style="2" customWidth="1"/>
    <col min="22" max="16384" width="9.140625" style="1"/>
  </cols>
  <sheetData>
    <row r="1" spans="1:21">
      <c r="A1" s="4" t="s">
        <v>31</v>
      </c>
    </row>
    <row r="2" spans="1:21">
      <c r="A2" s="4"/>
    </row>
    <row r="3" spans="1:21">
      <c r="A3" s="4" t="s">
        <v>30</v>
      </c>
    </row>
    <row r="4" spans="1:21">
      <c r="A4" s="17" t="s">
        <v>135</v>
      </c>
      <c r="B4" s="18" t="s">
        <v>20</v>
      </c>
      <c r="C4" s="17" t="s">
        <v>133</v>
      </c>
      <c r="D4" s="17" t="s">
        <v>143</v>
      </c>
      <c r="E4" s="17" t="s">
        <v>144</v>
      </c>
      <c r="F4" s="17" t="s">
        <v>19</v>
      </c>
      <c r="G4" s="17" t="s">
        <v>18</v>
      </c>
      <c r="H4" s="17" t="s">
        <v>17</v>
      </c>
      <c r="I4" s="17" t="s">
        <v>141</v>
      </c>
      <c r="J4" s="17" t="s">
        <v>16</v>
      </c>
    </row>
    <row r="5" spans="1:21">
      <c r="A5" s="14"/>
      <c r="B5" s="15" t="s">
        <v>134</v>
      </c>
      <c r="C5" s="14">
        <f>SUM(C6:C18)</f>
        <v>12</v>
      </c>
      <c r="D5" s="14"/>
      <c r="E5" s="14"/>
      <c r="F5" s="14"/>
      <c r="G5" s="14"/>
      <c r="H5" s="14"/>
      <c r="I5" s="14"/>
      <c r="J5" s="15"/>
    </row>
    <row r="6" spans="1:21">
      <c r="A6" s="12">
        <v>0</v>
      </c>
      <c r="B6" s="10" t="s">
        <v>15</v>
      </c>
      <c r="C6" s="12">
        <v>1</v>
      </c>
      <c r="D6" s="12">
        <v>0</v>
      </c>
      <c r="E6" s="12">
        <f t="shared" ref="E6:E18" si="0">IF(C6&gt;0,D6+C6-1,"")</f>
        <v>0</v>
      </c>
      <c r="F6" s="11" t="s">
        <v>14</v>
      </c>
      <c r="G6" s="11" t="s">
        <v>14</v>
      </c>
      <c r="H6" s="12" t="s">
        <v>2</v>
      </c>
      <c r="I6" s="11" t="s">
        <v>14</v>
      </c>
      <c r="J6" s="10" t="s">
        <v>13</v>
      </c>
    </row>
    <row r="7" spans="1:21">
      <c r="A7" s="7">
        <v>1</v>
      </c>
      <c r="B7" s="10" t="s">
        <v>136</v>
      </c>
      <c r="C7" s="12">
        <v>1</v>
      </c>
      <c r="D7" s="12">
        <f>IF(C8&gt;0,E6+1,"")</f>
        <v>1</v>
      </c>
      <c r="E7" s="7">
        <f t="shared" si="0"/>
        <v>1</v>
      </c>
      <c r="F7" s="12">
        <v>0</v>
      </c>
      <c r="G7" s="12" t="s">
        <v>69</v>
      </c>
      <c r="H7" s="12" t="s">
        <v>2</v>
      </c>
      <c r="I7" s="11">
        <v>1</v>
      </c>
      <c r="J7" s="48" t="s">
        <v>138</v>
      </c>
    </row>
    <row r="8" spans="1:21">
      <c r="A8" s="7">
        <v>2</v>
      </c>
      <c r="B8" s="8" t="s">
        <v>12</v>
      </c>
      <c r="C8" s="7">
        <v>1</v>
      </c>
      <c r="D8" s="7">
        <f>IF(C8&gt;0,E7+1,"")</f>
        <v>2</v>
      </c>
      <c r="E8" s="7">
        <f t="shared" si="0"/>
        <v>2</v>
      </c>
      <c r="F8" s="7">
        <v>0</v>
      </c>
      <c r="G8" s="7" t="s">
        <v>69</v>
      </c>
      <c r="H8" s="7" t="s">
        <v>2</v>
      </c>
      <c r="I8" s="9" t="str">
        <f>DEC2HEX(INT(C5/16),1)</f>
        <v>0</v>
      </c>
      <c r="J8" s="75" t="s">
        <v>140</v>
      </c>
      <c r="L8" s="1"/>
      <c r="U8" s="1"/>
    </row>
    <row r="9" spans="1:21">
      <c r="A9" s="7">
        <v>3</v>
      </c>
      <c r="B9" s="8" t="s">
        <v>10</v>
      </c>
      <c r="C9" s="7">
        <v>1</v>
      </c>
      <c r="D9" s="7">
        <f t="shared" ref="D9:D17" si="1">IF(C9&gt;0,E8+1,"")</f>
        <v>3</v>
      </c>
      <c r="E9" s="7">
        <f t="shared" si="0"/>
        <v>3</v>
      </c>
      <c r="F9" s="7">
        <v>0</v>
      </c>
      <c r="G9" s="7" t="s">
        <v>69</v>
      </c>
      <c r="H9" s="7" t="s">
        <v>2</v>
      </c>
      <c r="I9" s="9" t="str">
        <f>DEC2HEX(MOD(C5,16),1)</f>
        <v>C</v>
      </c>
      <c r="J9" s="76"/>
      <c r="L9" s="1"/>
      <c r="U9" s="1"/>
    </row>
    <row r="10" spans="1:21">
      <c r="A10" s="7">
        <v>4</v>
      </c>
      <c r="B10" s="8" t="s">
        <v>9</v>
      </c>
      <c r="C10" s="7">
        <v>1</v>
      </c>
      <c r="D10" s="7">
        <f t="shared" si="1"/>
        <v>4</v>
      </c>
      <c r="E10" s="7">
        <f t="shared" si="0"/>
        <v>4</v>
      </c>
      <c r="F10" s="7">
        <v>0</v>
      </c>
      <c r="G10" s="7" t="s">
        <v>69</v>
      </c>
      <c r="H10" s="7" t="s">
        <v>2</v>
      </c>
      <c r="I10" s="9"/>
      <c r="J10" s="73" t="s">
        <v>234</v>
      </c>
    </row>
    <row r="11" spans="1:21">
      <c r="A11" s="7">
        <v>5</v>
      </c>
      <c r="B11" s="8" t="s">
        <v>8</v>
      </c>
      <c r="C11" s="7">
        <v>1</v>
      </c>
      <c r="D11" s="7">
        <f t="shared" si="1"/>
        <v>5</v>
      </c>
      <c r="E11" s="7">
        <f t="shared" si="0"/>
        <v>5</v>
      </c>
      <c r="F11" s="7">
        <v>0</v>
      </c>
      <c r="G11" s="7" t="s">
        <v>69</v>
      </c>
      <c r="H11" s="7" t="s">
        <v>2</v>
      </c>
      <c r="I11" s="9"/>
      <c r="J11" s="74"/>
    </row>
    <row r="12" spans="1:21">
      <c r="A12" s="7">
        <v>6</v>
      </c>
      <c r="B12" s="8" t="s">
        <v>7</v>
      </c>
      <c r="C12" s="7">
        <v>1</v>
      </c>
      <c r="D12" s="7">
        <f t="shared" si="1"/>
        <v>6</v>
      </c>
      <c r="E12" s="7">
        <f t="shared" si="0"/>
        <v>6</v>
      </c>
      <c r="F12" s="7">
        <v>0</v>
      </c>
      <c r="G12" s="7" t="s">
        <v>69</v>
      </c>
      <c r="H12" s="7" t="s">
        <v>2</v>
      </c>
      <c r="I12" s="7"/>
      <c r="J12" s="75" t="s">
        <v>6</v>
      </c>
    </row>
    <row r="13" spans="1:21">
      <c r="A13" s="7">
        <v>7</v>
      </c>
      <c r="B13" s="8" t="s">
        <v>5</v>
      </c>
      <c r="C13" s="7">
        <v>1</v>
      </c>
      <c r="D13" s="7">
        <f t="shared" si="1"/>
        <v>7</v>
      </c>
      <c r="E13" s="7">
        <f t="shared" si="0"/>
        <v>7</v>
      </c>
      <c r="F13" s="7">
        <v>0</v>
      </c>
      <c r="G13" s="7" t="s">
        <v>69</v>
      </c>
      <c r="H13" s="7" t="s">
        <v>2</v>
      </c>
      <c r="I13" s="7"/>
      <c r="J13" s="76"/>
    </row>
    <row r="14" spans="1:21">
      <c r="A14" s="7">
        <v>8</v>
      </c>
      <c r="B14" s="8" t="s">
        <v>29</v>
      </c>
      <c r="C14" s="7">
        <v>1</v>
      </c>
      <c r="D14" s="7">
        <f t="shared" si="1"/>
        <v>8</v>
      </c>
      <c r="E14" s="7">
        <f t="shared" si="0"/>
        <v>8</v>
      </c>
      <c r="F14" s="7">
        <v>0</v>
      </c>
      <c r="G14" s="7" t="s">
        <v>69</v>
      </c>
      <c r="H14" s="7" t="s">
        <v>0</v>
      </c>
      <c r="I14" s="7"/>
      <c r="J14" s="75" t="s">
        <v>28</v>
      </c>
    </row>
    <row r="15" spans="1:21">
      <c r="A15" s="7">
        <v>9</v>
      </c>
      <c r="B15" s="8" t="s">
        <v>27</v>
      </c>
      <c r="C15" s="7">
        <v>1</v>
      </c>
      <c r="D15" s="7">
        <f t="shared" si="1"/>
        <v>9</v>
      </c>
      <c r="E15" s="7">
        <f t="shared" si="0"/>
        <v>9</v>
      </c>
      <c r="F15" s="7">
        <v>0</v>
      </c>
      <c r="G15" s="7" t="s">
        <v>69</v>
      </c>
      <c r="H15" s="7" t="s">
        <v>0</v>
      </c>
      <c r="I15" s="7"/>
      <c r="J15" s="77"/>
    </row>
    <row r="16" spans="1:21">
      <c r="A16" s="7">
        <v>10</v>
      </c>
      <c r="B16" s="8" t="s">
        <v>26</v>
      </c>
      <c r="C16" s="7">
        <v>1</v>
      </c>
      <c r="D16" s="7">
        <f t="shared" si="1"/>
        <v>10</v>
      </c>
      <c r="E16" s="7">
        <f t="shared" si="0"/>
        <v>10</v>
      </c>
      <c r="F16" s="7">
        <v>0</v>
      </c>
      <c r="G16" s="7" t="s">
        <v>69</v>
      </c>
      <c r="H16" s="7" t="s">
        <v>0</v>
      </c>
      <c r="I16" s="7"/>
      <c r="J16" s="75" t="s">
        <v>25</v>
      </c>
    </row>
    <row r="17" spans="1:12">
      <c r="A17" s="7">
        <v>11</v>
      </c>
      <c r="B17" s="8" t="s">
        <v>24</v>
      </c>
      <c r="C17" s="7">
        <v>1</v>
      </c>
      <c r="D17" s="7">
        <f t="shared" si="1"/>
        <v>11</v>
      </c>
      <c r="E17" s="7">
        <f t="shared" si="0"/>
        <v>11</v>
      </c>
      <c r="F17" s="7">
        <v>0</v>
      </c>
      <c r="G17" s="7" t="s">
        <v>69</v>
      </c>
      <c r="H17" s="7" t="s">
        <v>0</v>
      </c>
      <c r="I17" s="7"/>
      <c r="J17" s="77"/>
      <c r="L17" s="4"/>
    </row>
    <row r="18" spans="1:12">
      <c r="A18" s="5" t="s">
        <v>137</v>
      </c>
      <c r="B18" s="6" t="s">
        <v>1</v>
      </c>
      <c r="C18" s="5"/>
      <c r="D18" s="5" t="str">
        <f>IF(C18&gt;0,#REF!+1,"")</f>
        <v/>
      </c>
      <c r="E18" s="5" t="str">
        <f t="shared" si="0"/>
        <v/>
      </c>
      <c r="F18" s="5"/>
      <c r="G18" s="5"/>
      <c r="H18" s="5" t="s">
        <v>0</v>
      </c>
      <c r="I18" s="5"/>
      <c r="J18" s="6" t="s">
        <v>23</v>
      </c>
    </row>
    <row r="19" spans="1:12">
      <c r="A19" s="4" t="s">
        <v>22</v>
      </c>
      <c r="L19" s="1"/>
    </row>
    <row r="20" spans="1:12">
      <c r="A20" s="4"/>
      <c r="D20" s="1"/>
      <c r="E20" s="1"/>
      <c r="J20" s="2"/>
      <c r="L20" s="1"/>
    </row>
    <row r="21" spans="1:12">
      <c r="A21" s="4"/>
      <c r="D21" s="1"/>
      <c r="E21" s="1"/>
      <c r="J21" s="2"/>
      <c r="L21" s="1"/>
    </row>
    <row r="22" spans="1:12">
      <c r="A22" s="4" t="s">
        <v>21</v>
      </c>
      <c r="D22" s="1"/>
      <c r="E22" s="1"/>
      <c r="J22" s="2"/>
      <c r="L22" s="1"/>
    </row>
    <row r="23" spans="1:12">
      <c r="A23" s="17"/>
      <c r="B23" s="18" t="s">
        <v>20</v>
      </c>
      <c r="C23" s="17" t="s">
        <v>133</v>
      </c>
      <c r="D23" s="17" t="s">
        <v>143</v>
      </c>
      <c r="E23" s="17" t="s">
        <v>144</v>
      </c>
      <c r="F23" s="17" t="s">
        <v>19</v>
      </c>
      <c r="G23" s="17" t="s">
        <v>18</v>
      </c>
      <c r="H23" s="17" t="s">
        <v>17</v>
      </c>
      <c r="I23" s="17" t="s">
        <v>141</v>
      </c>
      <c r="J23" s="16" t="s">
        <v>16</v>
      </c>
      <c r="L23" s="1"/>
    </row>
    <row r="24" spans="1:12">
      <c r="A24" s="14"/>
      <c r="B24" s="15" t="s">
        <v>134</v>
      </c>
      <c r="C24" s="14">
        <f>SUM(C25:C35)</f>
        <v>10</v>
      </c>
      <c r="D24" s="14"/>
      <c r="E24" s="14"/>
      <c r="F24" s="14"/>
      <c r="G24" s="14"/>
      <c r="H24" s="14"/>
      <c r="I24" s="14"/>
      <c r="J24" s="13"/>
      <c r="L24" s="1"/>
    </row>
    <row r="25" spans="1:12">
      <c r="A25" s="12">
        <v>0</v>
      </c>
      <c r="B25" s="10" t="s">
        <v>15</v>
      </c>
      <c r="C25" s="12">
        <v>1</v>
      </c>
      <c r="D25" s="12">
        <v>0</v>
      </c>
      <c r="E25" s="12">
        <f t="shared" ref="E25:E32" si="2">IF(C25&gt;0,D25+C25-1,"")</f>
        <v>0</v>
      </c>
      <c r="F25" s="12">
        <v>0</v>
      </c>
      <c r="G25" s="11" t="s">
        <v>14</v>
      </c>
      <c r="H25" s="12" t="s">
        <v>2</v>
      </c>
      <c r="I25" s="11" t="s">
        <v>14</v>
      </c>
      <c r="J25" s="10" t="s">
        <v>13</v>
      </c>
      <c r="L25" s="1"/>
    </row>
    <row r="26" spans="1:12">
      <c r="A26" s="7">
        <v>1</v>
      </c>
      <c r="B26" s="10" t="s">
        <v>136</v>
      </c>
      <c r="C26" s="12">
        <v>1</v>
      </c>
      <c r="D26" s="12">
        <f>IF(C27&gt;0,E25+1,"")</f>
        <v>1</v>
      </c>
      <c r="E26" s="7">
        <f t="shared" si="2"/>
        <v>1</v>
      </c>
      <c r="F26" s="12">
        <v>0</v>
      </c>
      <c r="G26" s="12" t="s">
        <v>69</v>
      </c>
      <c r="H26" s="12" t="s">
        <v>2</v>
      </c>
      <c r="I26" s="11">
        <v>1</v>
      </c>
      <c r="J26" s="48" t="s">
        <v>138</v>
      </c>
      <c r="L26" s="1"/>
    </row>
    <row r="27" spans="1:12">
      <c r="A27" s="7">
        <v>2</v>
      </c>
      <c r="B27" s="8" t="s">
        <v>12</v>
      </c>
      <c r="C27" s="7">
        <v>1</v>
      </c>
      <c r="D27" s="7">
        <f>IF(C27&gt;0,E24+1,"")</f>
        <v>1</v>
      </c>
      <c r="E27" s="7">
        <f t="shared" si="2"/>
        <v>1</v>
      </c>
      <c r="F27" s="7">
        <v>0</v>
      </c>
      <c r="G27" s="7" t="s">
        <v>69</v>
      </c>
      <c r="H27" s="7" t="s">
        <v>2</v>
      </c>
      <c r="I27" s="9">
        <f>INT(C24/16)</f>
        <v>0</v>
      </c>
      <c r="J27" s="75" t="s">
        <v>140</v>
      </c>
      <c r="L27" s="1"/>
    </row>
    <row r="28" spans="1:12">
      <c r="A28" s="7">
        <v>3</v>
      </c>
      <c r="B28" s="8" t="s">
        <v>10</v>
      </c>
      <c r="C28" s="7">
        <v>1</v>
      </c>
      <c r="D28" s="7">
        <f>IF(C28&gt;0,E27+1,"")</f>
        <v>2</v>
      </c>
      <c r="E28" s="7">
        <f t="shared" si="2"/>
        <v>2</v>
      </c>
      <c r="F28" s="7">
        <v>8</v>
      </c>
      <c r="G28" s="7" t="s">
        <v>69</v>
      </c>
      <c r="H28" s="7" t="s">
        <v>2</v>
      </c>
      <c r="I28" s="9" t="str">
        <f>DEC2HEX(MOD(C24,16),1)</f>
        <v>A</v>
      </c>
      <c r="J28" s="76"/>
      <c r="L28" s="1"/>
    </row>
    <row r="29" spans="1:12">
      <c r="A29" s="7">
        <v>4</v>
      </c>
      <c r="B29" s="8" t="s">
        <v>9</v>
      </c>
      <c r="C29" s="7">
        <v>1</v>
      </c>
      <c r="D29" s="7">
        <f>IF(C29&gt;0,E28+1,"")</f>
        <v>3</v>
      </c>
      <c r="E29" s="7">
        <f t="shared" si="2"/>
        <v>3</v>
      </c>
      <c r="F29" s="7">
        <v>0</v>
      </c>
      <c r="G29" s="7" t="s">
        <v>69</v>
      </c>
      <c r="H29" s="7" t="s">
        <v>2</v>
      </c>
      <c r="I29" s="9"/>
      <c r="J29" s="73" t="s">
        <v>234</v>
      </c>
      <c r="L29" s="1"/>
    </row>
    <row r="30" spans="1:12">
      <c r="A30" s="7">
        <v>5</v>
      </c>
      <c r="B30" s="8" t="s">
        <v>8</v>
      </c>
      <c r="C30" s="7">
        <v>1</v>
      </c>
      <c r="D30" s="7">
        <f>IF(C30&gt;0,E29+1,"")</f>
        <v>4</v>
      </c>
      <c r="E30" s="7">
        <f t="shared" si="2"/>
        <v>4</v>
      </c>
      <c r="F30" s="7">
        <v>0</v>
      </c>
      <c r="G30" s="7" t="s">
        <v>69</v>
      </c>
      <c r="H30" s="7" t="s">
        <v>2</v>
      </c>
      <c r="I30" s="9"/>
      <c r="J30" s="74"/>
      <c r="L30" s="1"/>
    </row>
    <row r="31" spans="1:12" ht="15" customHeight="1">
      <c r="A31" s="7">
        <v>6</v>
      </c>
      <c r="B31" s="8" t="s">
        <v>7</v>
      </c>
      <c r="C31" s="7">
        <v>1</v>
      </c>
      <c r="D31" s="7">
        <f>IF(C31&gt;0,E30+1,"")</f>
        <v>5</v>
      </c>
      <c r="E31" s="7">
        <f t="shared" si="2"/>
        <v>5</v>
      </c>
      <c r="F31" s="7">
        <v>0</v>
      </c>
      <c r="G31" s="7" t="s">
        <v>69</v>
      </c>
      <c r="H31" s="7" t="s">
        <v>2</v>
      </c>
      <c r="I31" s="7"/>
      <c r="J31" s="75" t="s">
        <v>6</v>
      </c>
      <c r="L31" s="1"/>
    </row>
    <row r="32" spans="1:12">
      <c r="A32" s="7">
        <v>7</v>
      </c>
      <c r="B32" s="8" t="s">
        <v>5</v>
      </c>
      <c r="C32" s="7">
        <v>1</v>
      </c>
      <c r="D32" s="7">
        <f>IF(C32&gt;0,E31+1,"")</f>
        <v>6</v>
      </c>
      <c r="E32" s="7">
        <f t="shared" si="2"/>
        <v>6</v>
      </c>
      <c r="F32" s="7">
        <v>0</v>
      </c>
      <c r="G32" s="7" t="s">
        <v>69</v>
      </c>
      <c r="H32" s="7" t="s">
        <v>2</v>
      </c>
      <c r="I32" s="7"/>
      <c r="J32" s="76"/>
      <c r="L32" s="1"/>
    </row>
    <row r="33" spans="1:12" ht="24.75" customHeight="1">
      <c r="A33" s="7">
        <v>8</v>
      </c>
      <c r="B33" s="8" t="s">
        <v>4</v>
      </c>
      <c r="C33" s="7">
        <v>1</v>
      </c>
      <c r="D33" s="7">
        <f>IF(C33&gt;0,D32+1,"")</f>
        <v>7</v>
      </c>
      <c r="E33" s="7">
        <f>IF(C33&gt;0,D33+C33-1,"")</f>
        <v>7</v>
      </c>
      <c r="F33" s="7">
        <v>1</v>
      </c>
      <c r="G33" s="7" t="s">
        <v>69</v>
      </c>
      <c r="H33" s="7" t="s">
        <v>0</v>
      </c>
      <c r="I33" s="7"/>
      <c r="J33" s="78" t="s">
        <v>153</v>
      </c>
      <c r="L33" s="1"/>
    </row>
    <row r="34" spans="1:12" ht="24.75" customHeight="1">
      <c r="A34" s="47">
        <v>9</v>
      </c>
      <c r="B34" s="8" t="s">
        <v>3</v>
      </c>
      <c r="C34" s="7">
        <v>1</v>
      </c>
      <c r="D34" s="7">
        <f>IF(C34&gt;0,D33+1,"")</f>
        <v>8</v>
      </c>
      <c r="E34" s="7">
        <f>IF(C34&gt;0,D34+C34-1,"")</f>
        <v>8</v>
      </c>
      <c r="F34" s="7">
        <v>1</v>
      </c>
      <c r="G34" s="7" t="s">
        <v>69</v>
      </c>
      <c r="H34" s="7" t="s">
        <v>0</v>
      </c>
      <c r="I34" s="7"/>
      <c r="J34" s="79"/>
      <c r="L34" s="1"/>
    </row>
    <row r="35" spans="1:12">
      <c r="A35" s="5" t="s">
        <v>139</v>
      </c>
      <c r="B35" s="6" t="s">
        <v>1</v>
      </c>
      <c r="C35" s="5"/>
      <c r="D35" s="5"/>
      <c r="E35" s="5"/>
      <c r="F35" s="5"/>
      <c r="G35" s="5"/>
      <c r="H35" s="5" t="s">
        <v>0</v>
      </c>
      <c r="I35" s="5"/>
      <c r="J35" s="6" t="s">
        <v>23</v>
      </c>
    </row>
    <row r="36" spans="1:12">
      <c r="D36" s="1"/>
      <c r="E36" s="1"/>
      <c r="J36" s="2"/>
    </row>
  </sheetData>
  <sheetProtection selectLockedCells="1"/>
  <mergeCells count="9">
    <mergeCell ref="J10:J11"/>
    <mergeCell ref="J8:J9"/>
    <mergeCell ref="J12:J13"/>
    <mergeCell ref="J14:J15"/>
    <mergeCell ref="J33:J34"/>
    <mergeCell ref="J29:J30"/>
    <mergeCell ref="J27:J28"/>
    <mergeCell ref="J31:J32"/>
    <mergeCell ref="J16:J17"/>
  </mergeCells>
  <pageMargins left="0.7" right="0.7" top="0.75" bottom="0.75" header="0.3" footer="0.3"/>
  <pageSetup orientation="portrait" horizontalDpi="300" verticalDpi="30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EE632-ECEA-4EF4-8E76-803F70DD33F2}">
  <sheetPr codeName="Sheet6"/>
  <dimension ref="A1:H114"/>
  <sheetViews>
    <sheetView zoomScale="95" zoomScaleNormal="9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84" sqref="D84"/>
    </sheetView>
  </sheetViews>
  <sheetFormatPr defaultRowHeight="15"/>
  <cols>
    <col min="1" max="1" width="17.7109375" style="41" customWidth="1"/>
    <col min="2" max="3" width="9.140625" style="39"/>
    <col min="4" max="4" width="39.140625" style="41" bestFit="1" customWidth="1"/>
    <col min="5" max="6" width="18.42578125" style="41" customWidth="1"/>
    <col min="7" max="7" width="81.140625" style="41" bestFit="1" customWidth="1"/>
  </cols>
  <sheetData>
    <row r="1" spans="1:8" ht="18.75">
      <c r="A1" s="67" t="s">
        <v>216</v>
      </c>
      <c r="B1" s="86" t="s">
        <v>215</v>
      </c>
      <c r="C1" s="86"/>
      <c r="D1" s="67" t="s">
        <v>46</v>
      </c>
      <c r="E1" s="84" t="s">
        <v>232</v>
      </c>
      <c r="F1" s="85"/>
      <c r="G1" s="67" t="s">
        <v>229</v>
      </c>
    </row>
    <row r="2" spans="1:8">
      <c r="A2" s="68"/>
      <c r="B2" s="26" t="s">
        <v>217</v>
      </c>
      <c r="C2" s="26" t="s">
        <v>218</v>
      </c>
      <c r="D2" s="68"/>
      <c r="E2" s="26" t="s">
        <v>235</v>
      </c>
      <c r="F2" s="26" t="s">
        <v>236</v>
      </c>
      <c r="G2" s="68"/>
    </row>
    <row r="3" spans="1:8">
      <c r="A3" s="83" t="s">
        <v>227</v>
      </c>
      <c r="B3" s="29">
        <v>0</v>
      </c>
      <c r="C3" s="29">
        <v>0</v>
      </c>
      <c r="D3" s="31" t="s">
        <v>219</v>
      </c>
      <c r="E3" s="31"/>
      <c r="F3" s="31"/>
      <c r="G3" s="31"/>
    </row>
    <row r="4" spans="1:8">
      <c r="A4" s="81"/>
      <c r="B4" s="32">
        <v>0</v>
      </c>
      <c r="C4" s="32">
        <v>1</v>
      </c>
      <c r="D4" s="35" t="s">
        <v>284</v>
      </c>
      <c r="E4" s="35" t="s">
        <v>233</v>
      </c>
      <c r="F4" s="35" t="s">
        <v>233</v>
      </c>
      <c r="G4" s="35" t="s">
        <v>228</v>
      </c>
    </row>
    <row r="5" spans="1:8">
      <c r="A5" s="81"/>
      <c r="B5" s="32">
        <v>0</v>
      </c>
      <c r="C5" s="32">
        <v>2</v>
      </c>
      <c r="D5" s="35" t="s">
        <v>285</v>
      </c>
      <c r="E5" s="35" t="s">
        <v>233</v>
      </c>
      <c r="F5" s="35" t="s">
        <v>233</v>
      </c>
      <c r="G5" s="35" t="s">
        <v>228</v>
      </c>
    </row>
    <row r="6" spans="1:8">
      <c r="A6" s="81"/>
      <c r="B6" s="32">
        <v>0</v>
      </c>
      <c r="C6" s="32">
        <v>3</v>
      </c>
      <c r="D6" s="35" t="s">
        <v>301</v>
      </c>
      <c r="E6" s="35" t="s">
        <v>233</v>
      </c>
      <c r="F6" s="35" t="s">
        <v>233</v>
      </c>
      <c r="G6" s="35" t="s">
        <v>228</v>
      </c>
      <c r="H6" s="70" t="s">
        <v>302</v>
      </c>
    </row>
    <row r="7" spans="1:8">
      <c r="A7" s="81"/>
      <c r="B7" s="32">
        <v>0</v>
      </c>
      <c r="C7" s="32">
        <v>4</v>
      </c>
      <c r="D7" s="35" t="s">
        <v>290</v>
      </c>
      <c r="E7" s="35" t="s">
        <v>233</v>
      </c>
      <c r="F7" s="35" t="s">
        <v>233</v>
      </c>
      <c r="G7" s="35" t="s">
        <v>275</v>
      </c>
    </row>
    <row r="8" spans="1:8">
      <c r="A8" s="81"/>
      <c r="B8" s="32">
        <v>0</v>
      </c>
      <c r="C8" s="32">
        <v>5</v>
      </c>
      <c r="D8" s="35" t="s">
        <v>291</v>
      </c>
      <c r="E8" s="35" t="s">
        <v>233</v>
      </c>
      <c r="F8" s="35" t="s">
        <v>233</v>
      </c>
      <c r="G8" s="35" t="s">
        <v>275</v>
      </c>
    </row>
    <row r="9" spans="1:8">
      <c r="A9" s="81"/>
      <c r="B9" s="32">
        <v>0</v>
      </c>
      <c r="C9" s="32">
        <v>6</v>
      </c>
      <c r="D9" s="35" t="s">
        <v>292</v>
      </c>
      <c r="E9" s="35" t="s">
        <v>233</v>
      </c>
      <c r="F9" s="35" t="s">
        <v>233</v>
      </c>
      <c r="G9" s="35" t="s">
        <v>275</v>
      </c>
    </row>
    <row r="10" spans="1:8">
      <c r="A10" s="81"/>
      <c r="B10" s="32">
        <v>0</v>
      </c>
      <c r="C10" s="32">
        <v>7</v>
      </c>
      <c r="D10" s="35" t="s">
        <v>293</v>
      </c>
      <c r="E10" s="35" t="s">
        <v>233</v>
      </c>
      <c r="F10" s="35" t="s">
        <v>233</v>
      </c>
      <c r="G10" s="35" t="s">
        <v>275</v>
      </c>
    </row>
    <row r="11" spans="1:8">
      <c r="A11" s="81"/>
      <c r="B11" s="32">
        <v>0</v>
      </c>
      <c r="C11" s="32">
        <v>8</v>
      </c>
      <c r="D11" s="35"/>
      <c r="E11" s="35"/>
      <c r="F11" s="35"/>
      <c r="G11" s="35"/>
    </row>
    <row r="12" spans="1:8">
      <c r="A12" s="81"/>
      <c r="B12" s="32">
        <v>0</v>
      </c>
      <c r="C12" s="32">
        <v>9</v>
      </c>
      <c r="D12" s="35"/>
      <c r="E12" s="35"/>
      <c r="F12" s="35"/>
      <c r="G12" s="35"/>
    </row>
    <row r="13" spans="1:8">
      <c r="A13" s="81"/>
      <c r="B13" s="32">
        <v>0</v>
      </c>
      <c r="C13" s="32" t="s">
        <v>48</v>
      </c>
      <c r="D13" s="35"/>
      <c r="E13" s="35"/>
      <c r="F13" s="35"/>
      <c r="G13" s="35"/>
    </row>
    <row r="14" spans="1:8">
      <c r="A14" s="81"/>
      <c r="B14" s="32">
        <v>0</v>
      </c>
      <c r="C14" s="32" t="s">
        <v>146</v>
      </c>
      <c r="D14" s="35"/>
      <c r="E14" s="35"/>
      <c r="F14" s="35"/>
      <c r="G14" s="35"/>
    </row>
    <row r="15" spans="1:8">
      <c r="A15" s="81"/>
      <c r="B15" s="32">
        <v>0</v>
      </c>
      <c r="C15" s="32" t="s">
        <v>175</v>
      </c>
      <c r="D15" s="35"/>
      <c r="E15" s="35"/>
      <c r="F15" s="35"/>
      <c r="G15" s="35"/>
    </row>
    <row r="16" spans="1:8">
      <c r="A16" s="81"/>
      <c r="B16" s="32">
        <v>0</v>
      </c>
      <c r="C16" s="32" t="s">
        <v>204</v>
      </c>
      <c r="D16" s="35"/>
      <c r="E16" s="35"/>
      <c r="F16" s="35"/>
      <c r="G16" s="35"/>
    </row>
    <row r="17" spans="1:8">
      <c r="A17" s="81"/>
      <c r="B17" s="32">
        <v>0</v>
      </c>
      <c r="C17" s="32" t="s">
        <v>49</v>
      </c>
      <c r="D17" s="35"/>
      <c r="E17" s="35"/>
      <c r="F17" s="35"/>
      <c r="G17" s="35"/>
    </row>
    <row r="18" spans="1:8">
      <c r="A18" s="82"/>
      <c r="B18" s="36">
        <v>0</v>
      </c>
      <c r="C18" s="36" t="s">
        <v>69</v>
      </c>
      <c r="D18" s="38"/>
      <c r="E18" s="38"/>
      <c r="F18" s="38"/>
      <c r="G18" s="38"/>
      <c r="H18" s="70"/>
    </row>
    <row r="19" spans="1:8">
      <c r="A19" s="80" t="s">
        <v>225</v>
      </c>
      <c r="B19" s="55">
        <v>1</v>
      </c>
      <c r="C19" s="55">
        <v>0</v>
      </c>
      <c r="D19" s="65" t="s">
        <v>219</v>
      </c>
      <c r="E19" s="65"/>
      <c r="F19" s="65"/>
      <c r="G19" s="65"/>
    </row>
    <row r="20" spans="1:8">
      <c r="A20" s="81"/>
      <c r="B20" s="32">
        <v>1</v>
      </c>
      <c r="C20" s="32">
        <v>1</v>
      </c>
      <c r="D20" s="35" t="s">
        <v>286</v>
      </c>
      <c r="E20" s="35" t="s">
        <v>147</v>
      </c>
      <c r="F20" s="35" t="s">
        <v>148</v>
      </c>
      <c r="G20" s="35" t="s">
        <v>230</v>
      </c>
    </row>
    <row r="21" spans="1:8">
      <c r="A21" s="81"/>
      <c r="B21" s="32">
        <v>1</v>
      </c>
      <c r="C21" s="32">
        <v>2</v>
      </c>
      <c r="D21" s="35" t="s">
        <v>287</v>
      </c>
      <c r="E21" s="35" t="s">
        <v>154</v>
      </c>
      <c r="F21" s="35" t="s">
        <v>150</v>
      </c>
      <c r="G21" s="35" t="s">
        <v>230</v>
      </c>
    </row>
    <row r="22" spans="1:8">
      <c r="A22" s="81"/>
      <c r="B22" s="32">
        <v>1</v>
      </c>
      <c r="C22" s="32">
        <v>3</v>
      </c>
      <c r="D22" s="35" t="s">
        <v>306</v>
      </c>
      <c r="E22" s="35" t="s">
        <v>305</v>
      </c>
      <c r="F22" s="35" t="s">
        <v>307</v>
      </c>
      <c r="G22" s="35" t="s">
        <v>230</v>
      </c>
    </row>
    <row r="23" spans="1:8">
      <c r="A23" s="81"/>
      <c r="B23" s="32">
        <v>1</v>
      </c>
      <c r="C23" s="32">
        <v>4</v>
      </c>
      <c r="D23" s="35" t="s">
        <v>288</v>
      </c>
      <c r="E23" s="35" t="s">
        <v>155</v>
      </c>
      <c r="F23" s="35" t="s">
        <v>149</v>
      </c>
      <c r="G23" s="35" t="s">
        <v>230</v>
      </c>
    </row>
    <row r="24" spans="1:8">
      <c r="A24" s="81"/>
      <c r="B24" s="32">
        <v>1</v>
      </c>
      <c r="C24" s="32">
        <v>5</v>
      </c>
      <c r="D24" s="35" t="s">
        <v>289</v>
      </c>
      <c r="E24" s="35" t="s">
        <v>156</v>
      </c>
      <c r="F24" s="35" t="s">
        <v>151</v>
      </c>
      <c r="G24" s="35" t="s">
        <v>230</v>
      </c>
    </row>
    <row r="25" spans="1:8">
      <c r="A25" s="81"/>
      <c r="B25" s="32">
        <v>1</v>
      </c>
      <c r="C25" s="32">
        <v>6</v>
      </c>
      <c r="D25" s="35" t="s">
        <v>303</v>
      </c>
      <c r="E25" s="35" t="s">
        <v>304</v>
      </c>
      <c r="F25" s="35" t="s">
        <v>308</v>
      </c>
      <c r="G25" s="35" t="s">
        <v>230</v>
      </c>
    </row>
    <row r="26" spans="1:8">
      <c r="A26" s="81"/>
      <c r="B26" s="32">
        <v>1</v>
      </c>
      <c r="C26" s="32">
        <v>7</v>
      </c>
      <c r="D26" s="35"/>
      <c r="E26" s="35"/>
      <c r="F26" s="35"/>
      <c r="G26" s="35"/>
    </row>
    <row r="27" spans="1:8">
      <c r="A27" s="81"/>
      <c r="B27" s="32">
        <v>1</v>
      </c>
      <c r="C27" s="32">
        <v>8</v>
      </c>
      <c r="D27" s="35"/>
      <c r="E27" s="35"/>
      <c r="F27" s="35"/>
      <c r="G27" s="35"/>
    </row>
    <row r="28" spans="1:8">
      <c r="A28" s="81"/>
      <c r="B28" s="32">
        <v>1</v>
      </c>
      <c r="C28" s="32">
        <v>9</v>
      </c>
      <c r="D28" s="35"/>
      <c r="E28" s="35"/>
      <c r="F28" s="35"/>
      <c r="G28" s="35"/>
    </row>
    <row r="29" spans="1:8">
      <c r="A29" s="81"/>
      <c r="B29" s="32">
        <v>1</v>
      </c>
      <c r="C29" s="32" t="s">
        <v>48</v>
      </c>
      <c r="D29" s="35"/>
      <c r="E29" s="35"/>
      <c r="F29" s="35"/>
      <c r="G29" s="35"/>
    </row>
    <row r="30" spans="1:8">
      <c r="A30" s="81"/>
      <c r="B30" s="32">
        <v>1</v>
      </c>
      <c r="C30" s="32" t="s">
        <v>146</v>
      </c>
      <c r="D30" s="35"/>
      <c r="E30" s="35"/>
      <c r="F30" s="35"/>
      <c r="G30" s="35"/>
    </row>
    <row r="31" spans="1:8">
      <c r="A31" s="81"/>
      <c r="B31" s="32">
        <v>1</v>
      </c>
      <c r="C31" s="32" t="s">
        <v>175</v>
      </c>
      <c r="D31" s="35"/>
      <c r="E31" s="35"/>
      <c r="F31" s="35"/>
      <c r="G31" s="35"/>
    </row>
    <row r="32" spans="1:8">
      <c r="A32" s="81"/>
      <c r="B32" s="32">
        <v>1</v>
      </c>
      <c r="C32" s="32" t="s">
        <v>204</v>
      </c>
      <c r="D32" s="35"/>
      <c r="E32" s="35"/>
      <c r="F32" s="35"/>
      <c r="G32" s="35"/>
    </row>
    <row r="33" spans="1:7">
      <c r="A33" s="81"/>
      <c r="B33" s="32">
        <v>1</v>
      </c>
      <c r="C33" s="32" t="s">
        <v>49</v>
      </c>
      <c r="D33" s="35"/>
      <c r="E33" s="35"/>
      <c r="F33" s="35"/>
      <c r="G33" s="35"/>
    </row>
    <row r="34" spans="1:7">
      <c r="A34" s="87"/>
      <c r="B34" s="64">
        <v>1</v>
      </c>
      <c r="C34" s="64" t="s">
        <v>69</v>
      </c>
      <c r="D34" s="66"/>
      <c r="E34" s="66"/>
      <c r="F34" s="66"/>
      <c r="G34" s="66"/>
    </row>
    <row r="35" spans="1:7">
      <c r="A35" s="83" t="s">
        <v>248</v>
      </c>
      <c r="B35" s="29">
        <v>2</v>
      </c>
      <c r="C35" s="29">
        <v>0</v>
      </c>
      <c r="D35" s="31" t="s">
        <v>219</v>
      </c>
      <c r="E35" s="31"/>
      <c r="F35" s="31"/>
      <c r="G35" s="31"/>
    </row>
    <row r="36" spans="1:7">
      <c r="A36" s="81"/>
      <c r="B36" s="32">
        <v>2</v>
      </c>
      <c r="C36" s="32">
        <v>1</v>
      </c>
      <c r="D36" s="35" t="s">
        <v>418</v>
      </c>
      <c r="E36" s="35" t="s">
        <v>247</v>
      </c>
      <c r="F36" s="35" t="s">
        <v>233</v>
      </c>
      <c r="G36" s="35" t="s">
        <v>355</v>
      </c>
    </row>
    <row r="37" spans="1:7">
      <c r="A37" s="81"/>
      <c r="B37" s="32">
        <v>2</v>
      </c>
      <c r="C37" s="32">
        <v>2</v>
      </c>
      <c r="D37" s="35" t="s">
        <v>419</v>
      </c>
      <c r="E37" s="35" t="s">
        <v>157</v>
      </c>
      <c r="F37" s="35" t="s">
        <v>482</v>
      </c>
      <c r="G37" s="35" t="s">
        <v>444</v>
      </c>
    </row>
    <row r="38" spans="1:7">
      <c r="A38" s="81"/>
      <c r="B38" s="32">
        <v>2</v>
      </c>
      <c r="C38" s="32">
        <v>3</v>
      </c>
      <c r="D38" s="35" t="s">
        <v>348</v>
      </c>
      <c r="E38" s="35" t="s">
        <v>158</v>
      </c>
      <c r="F38" s="35" t="s">
        <v>152</v>
      </c>
      <c r="G38" s="35" t="s">
        <v>445</v>
      </c>
    </row>
    <row r="39" spans="1:7">
      <c r="A39" s="81"/>
      <c r="B39" s="32">
        <v>2</v>
      </c>
      <c r="C39" s="32">
        <v>4</v>
      </c>
      <c r="D39" s="35" t="s">
        <v>421</v>
      </c>
      <c r="E39" s="35" t="s">
        <v>330</v>
      </c>
      <c r="F39" s="35" t="s">
        <v>237</v>
      </c>
      <c r="G39" s="35" t="s">
        <v>446</v>
      </c>
    </row>
    <row r="40" spans="1:7">
      <c r="A40" s="81"/>
      <c r="B40" s="32">
        <v>2</v>
      </c>
      <c r="C40" s="32">
        <v>5</v>
      </c>
      <c r="D40" s="35" t="s">
        <v>402</v>
      </c>
      <c r="E40" s="69" t="s">
        <v>342</v>
      </c>
      <c r="F40" s="35" t="s">
        <v>233</v>
      </c>
      <c r="G40" s="35" t="s">
        <v>446</v>
      </c>
    </row>
    <row r="41" spans="1:7">
      <c r="A41" s="81"/>
      <c r="B41" s="32">
        <v>2</v>
      </c>
      <c r="C41" s="32">
        <v>6</v>
      </c>
      <c r="D41" s="35" t="s">
        <v>422</v>
      </c>
      <c r="E41" s="69" t="s">
        <v>420</v>
      </c>
      <c r="F41" s="35" t="s">
        <v>233</v>
      </c>
      <c r="G41" s="35" t="s">
        <v>413</v>
      </c>
    </row>
    <row r="42" spans="1:7">
      <c r="A42" s="81"/>
      <c r="B42" s="32">
        <v>2</v>
      </c>
      <c r="C42" s="32">
        <v>7</v>
      </c>
      <c r="D42" s="35" t="s">
        <v>427</v>
      </c>
      <c r="E42" s="69" t="s">
        <v>428</v>
      </c>
      <c r="F42" s="35" t="s">
        <v>233</v>
      </c>
      <c r="G42" s="35" t="s">
        <v>444</v>
      </c>
    </row>
    <row r="43" spans="1:7">
      <c r="A43" s="81"/>
      <c r="B43" s="32">
        <v>2</v>
      </c>
      <c r="C43" s="32">
        <v>8</v>
      </c>
      <c r="D43" s="35" t="s">
        <v>429</v>
      </c>
      <c r="E43" s="69" t="s">
        <v>430</v>
      </c>
      <c r="F43" s="35" t="s">
        <v>233</v>
      </c>
      <c r="G43" s="35" t="s">
        <v>444</v>
      </c>
    </row>
    <row r="44" spans="1:7">
      <c r="A44" s="81"/>
      <c r="B44" s="32">
        <v>2</v>
      </c>
      <c r="C44" s="32">
        <v>9</v>
      </c>
      <c r="D44" s="35" t="s">
        <v>447</v>
      </c>
      <c r="E44" s="69" t="s">
        <v>443</v>
      </c>
      <c r="F44" s="69" t="s">
        <v>481</v>
      </c>
      <c r="G44" s="35"/>
    </row>
    <row r="45" spans="1:7">
      <c r="A45" s="81"/>
      <c r="B45" s="32">
        <v>2</v>
      </c>
      <c r="C45" s="32" t="s">
        <v>48</v>
      </c>
      <c r="D45" s="35"/>
      <c r="E45" s="35"/>
      <c r="F45" s="35"/>
      <c r="G45" s="35"/>
    </row>
    <row r="46" spans="1:7">
      <c r="A46" s="81"/>
      <c r="B46" s="32">
        <v>2</v>
      </c>
      <c r="C46" s="32" t="s">
        <v>146</v>
      </c>
      <c r="D46" s="35"/>
      <c r="E46" s="35"/>
      <c r="F46" s="35"/>
      <c r="G46" s="35"/>
    </row>
    <row r="47" spans="1:7">
      <c r="A47" s="81"/>
      <c r="B47" s="32">
        <v>2</v>
      </c>
      <c r="C47" s="32" t="s">
        <v>175</v>
      </c>
      <c r="D47" s="35"/>
      <c r="E47" s="35"/>
      <c r="F47" s="35"/>
      <c r="G47" s="35"/>
    </row>
    <row r="48" spans="1:7">
      <c r="A48" s="81"/>
      <c r="B48" s="32">
        <v>2</v>
      </c>
      <c r="C48" s="32" t="s">
        <v>204</v>
      </c>
      <c r="D48" s="66"/>
      <c r="E48" s="35"/>
      <c r="F48" s="35"/>
      <c r="G48" s="35"/>
    </row>
    <row r="49" spans="1:8">
      <c r="A49" s="81"/>
      <c r="B49" s="32">
        <v>2</v>
      </c>
      <c r="C49" s="32" t="s">
        <v>49</v>
      </c>
      <c r="D49" s="66"/>
      <c r="E49" s="35"/>
      <c r="F49" s="35"/>
      <c r="G49" s="35"/>
    </row>
    <row r="50" spans="1:8">
      <c r="A50" s="82"/>
      <c r="B50" s="36">
        <v>2</v>
      </c>
      <c r="C50" s="36" t="s">
        <v>69</v>
      </c>
      <c r="D50" s="38"/>
      <c r="E50" s="38"/>
      <c r="F50" s="38"/>
      <c r="G50" s="38"/>
    </row>
    <row r="51" spans="1:8">
      <c r="A51" s="80" t="s">
        <v>269</v>
      </c>
      <c r="B51" s="55">
        <v>3</v>
      </c>
      <c r="C51" s="55">
        <v>0</v>
      </c>
      <c r="D51" s="65" t="s">
        <v>219</v>
      </c>
      <c r="E51" s="65"/>
      <c r="F51" s="65"/>
      <c r="G51" s="65"/>
    </row>
    <row r="52" spans="1:8">
      <c r="A52" s="81"/>
      <c r="B52" s="32">
        <v>3</v>
      </c>
      <c r="C52" s="32">
        <v>1</v>
      </c>
      <c r="D52" s="35" t="s">
        <v>220</v>
      </c>
      <c r="E52" s="35" t="s">
        <v>159</v>
      </c>
      <c r="F52" s="35" t="s">
        <v>237</v>
      </c>
      <c r="G52" s="35" t="s">
        <v>271</v>
      </c>
    </row>
    <row r="53" spans="1:8">
      <c r="A53" s="81"/>
      <c r="B53" s="32">
        <v>3</v>
      </c>
      <c r="C53" s="32">
        <v>2</v>
      </c>
      <c r="D53" s="35" t="s">
        <v>221</v>
      </c>
      <c r="E53" s="35" t="s">
        <v>245</v>
      </c>
      <c r="F53" s="35" t="s">
        <v>237</v>
      </c>
      <c r="G53" s="35" t="s">
        <v>272</v>
      </c>
    </row>
    <row r="54" spans="1:8">
      <c r="A54" s="81"/>
      <c r="B54" s="32">
        <v>3</v>
      </c>
      <c r="C54" s="32">
        <v>3</v>
      </c>
      <c r="D54" s="35" t="s">
        <v>222</v>
      </c>
      <c r="E54" s="35" t="s">
        <v>246</v>
      </c>
      <c r="F54" s="35" t="s">
        <v>237</v>
      </c>
      <c r="G54" s="35" t="s">
        <v>273</v>
      </c>
    </row>
    <row r="55" spans="1:8">
      <c r="A55" s="81"/>
      <c r="B55" s="32">
        <v>3</v>
      </c>
      <c r="C55" s="32">
        <v>4</v>
      </c>
      <c r="D55" s="35" t="s">
        <v>268</v>
      </c>
      <c r="E55" s="35" t="s">
        <v>270</v>
      </c>
      <c r="F55" s="35" t="s">
        <v>237</v>
      </c>
      <c r="G55" s="35" t="s">
        <v>274</v>
      </c>
    </row>
    <row r="56" spans="1:8">
      <c r="A56" s="81"/>
      <c r="B56" s="32">
        <v>3</v>
      </c>
      <c r="C56" s="32">
        <v>5</v>
      </c>
      <c r="D56" s="35" t="s">
        <v>314</v>
      </c>
      <c r="E56" s="35" t="s">
        <v>317</v>
      </c>
      <c r="F56" s="35" t="s">
        <v>237</v>
      </c>
      <c r="G56" s="35" t="s">
        <v>321</v>
      </c>
    </row>
    <row r="57" spans="1:8">
      <c r="A57" s="81"/>
      <c r="B57" s="32">
        <v>3</v>
      </c>
      <c r="C57" s="32">
        <v>6</v>
      </c>
      <c r="D57" s="35" t="s">
        <v>319</v>
      </c>
      <c r="E57" s="35" t="s">
        <v>320</v>
      </c>
      <c r="F57" s="35" t="s">
        <v>237</v>
      </c>
      <c r="G57" s="35" t="s">
        <v>322</v>
      </c>
    </row>
    <row r="58" spans="1:8">
      <c r="A58" s="81"/>
      <c r="B58" s="32">
        <v>3</v>
      </c>
      <c r="C58" s="32">
        <v>7</v>
      </c>
      <c r="D58" s="35" t="s">
        <v>455</v>
      </c>
      <c r="E58" s="35" t="s">
        <v>456</v>
      </c>
      <c r="F58" s="35" t="s">
        <v>237</v>
      </c>
      <c r="G58" s="35" t="s">
        <v>457</v>
      </c>
      <c r="H58" s="72" t="s">
        <v>458</v>
      </c>
    </row>
    <row r="59" spans="1:8">
      <c r="A59" s="81"/>
      <c r="B59" s="32">
        <v>3</v>
      </c>
      <c r="C59" s="32">
        <v>8</v>
      </c>
      <c r="D59" s="35" t="s">
        <v>464</v>
      </c>
      <c r="E59" s="69" t="s">
        <v>466</v>
      </c>
      <c r="F59" s="35" t="s">
        <v>237</v>
      </c>
      <c r="G59" s="35" t="s">
        <v>468</v>
      </c>
    </row>
    <row r="60" spans="1:8">
      <c r="A60" s="81"/>
      <c r="B60" s="32">
        <v>3</v>
      </c>
      <c r="C60" s="32">
        <v>9</v>
      </c>
      <c r="D60" s="35" t="s">
        <v>465</v>
      </c>
      <c r="E60" s="35" t="s">
        <v>467</v>
      </c>
      <c r="F60" s="35" t="s">
        <v>477</v>
      </c>
      <c r="G60" s="35" t="s">
        <v>468</v>
      </c>
    </row>
    <row r="61" spans="1:8">
      <c r="A61" s="81"/>
      <c r="B61" s="32">
        <v>3</v>
      </c>
      <c r="C61" s="32" t="s">
        <v>48</v>
      </c>
      <c r="D61" s="35"/>
      <c r="E61" s="35"/>
      <c r="F61" s="35"/>
      <c r="G61" s="35"/>
    </row>
    <row r="62" spans="1:8">
      <c r="A62" s="81"/>
      <c r="B62" s="32">
        <v>3</v>
      </c>
      <c r="C62" s="32" t="s">
        <v>146</v>
      </c>
      <c r="D62" s="35"/>
      <c r="E62" s="35"/>
      <c r="F62" s="35"/>
      <c r="G62" s="35"/>
    </row>
    <row r="63" spans="1:8">
      <c r="A63" s="81"/>
      <c r="B63" s="32">
        <v>3</v>
      </c>
      <c r="C63" s="32" t="s">
        <v>175</v>
      </c>
      <c r="D63" s="35"/>
      <c r="E63" s="35"/>
      <c r="F63" s="35"/>
      <c r="G63" s="35"/>
    </row>
    <row r="64" spans="1:8">
      <c r="A64" s="81"/>
      <c r="B64" s="32">
        <v>3</v>
      </c>
      <c r="C64" s="32" t="s">
        <v>204</v>
      </c>
      <c r="D64" s="35"/>
      <c r="E64" s="35"/>
      <c r="F64" s="35"/>
      <c r="G64" s="35"/>
    </row>
    <row r="65" spans="1:7">
      <c r="A65" s="81"/>
      <c r="B65" s="32">
        <v>3</v>
      </c>
      <c r="C65" s="32" t="s">
        <v>49</v>
      </c>
      <c r="D65" s="35"/>
      <c r="E65" s="35"/>
      <c r="F65" s="35"/>
      <c r="G65" s="35"/>
    </row>
    <row r="66" spans="1:7">
      <c r="A66" s="87"/>
      <c r="B66" s="64">
        <v>3</v>
      </c>
      <c r="C66" s="64" t="s">
        <v>69</v>
      </c>
      <c r="D66" s="66"/>
      <c r="E66" s="66"/>
      <c r="F66" s="66"/>
      <c r="G66" s="66"/>
    </row>
    <row r="67" spans="1:7">
      <c r="A67" s="83" t="s">
        <v>223</v>
      </c>
      <c r="B67" s="29">
        <v>4</v>
      </c>
      <c r="C67" s="29">
        <v>0</v>
      </c>
      <c r="D67" s="31" t="s">
        <v>219</v>
      </c>
      <c r="E67" s="31"/>
      <c r="F67" s="31"/>
      <c r="G67" s="31"/>
    </row>
    <row r="68" spans="1:7">
      <c r="A68" s="81"/>
      <c r="B68" s="32">
        <v>4</v>
      </c>
      <c r="C68" s="32">
        <v>1</v>
      </c>
      <c r="D68" s="35" t="s">
        <v>224</v>
      </c>
      <c r="E68" s="69" t="s">
        <v>244</v>
      </c>
      <c r="F68" s="69" t="s">
        <v>326</v>
      </c>
      <c r="G68" s="35" t="s">
        <v>231</v>
      </c>
    </row>
    <row r="69" spans="1:7">
      <c r="A69" s="81"/>
      <c r="B69" s="32">
        <v>4</v>
      </c>
      <c r="C69" s="32">
        <v>2</v>
      </c>
      <c r="D69" s="35" t="s">
        <v>315</v>
      </c>
      <c r="E69" s="69" t="s">
        <v>313</v>
      </c>
      <c r="F69" s="35" t="s">
        <v>324</v>
      </c>
      <c r="G69" s="35" t="s">
        <v>316</v>
      </c>
    </row>
    <row r="70" spans="1:7">
      <c r="A70" s="81"/>
      <c r="B70" s="32">
        <v>4</v>
      </c>
      <c r="C70" s="32">
        <v>3</v>
      </c>
      <c r="D70" s="35" t="s">
        <v>318</v>
      </c>
      <c r="E70" s="69" t="s">
        <v>323</v>
      </c>
      <c r="F70" s="35" t="s">
        <v>325</v>
      </c>
      <c r="G70" s="35" t="s">
        <v>327</v>
      </c>
    </row>
    <row r="71" spans="1:7">
      <c r="A71" s="81"/>
      <c r="B71" s="32">
        <v>4</v>
      </c>
      <c r="C71" s="32">
        <v>4</v>
      </c>
      <c r="D71" s="35"/>
      <c r="E71" s="35"/>
      <c r="F71" s="35"/>
      <c r="G71" s="35"/>
    </row>
    <row r="72" spans="1:7">
      <c r="A72" s="81"/>
      <c r="B72" s="32">
        <v>4</v>
      </c>
      <c r="C72" s="32">
        <v>5</v>
      </c>
      <c r="D72" s="35"/>
      <c r="E72" s="69"/>
      <c r="F72" s="35"/>
      <c r="G72" s="35"/>
    </row>
    <row r="73" spans="1:7">
      <c r="A73" s="81"/>
      <c r="B73" s="32">
        <v>4</v>
      </c>
      <c r="C73" s="32">
        <v>6</v>
      </c>
      <c r="D73" s="35"/>
      <c r="E73" s="35"/>
      <c r="F73" s="35"/>
      <c r="G73" s="35"/>
    </row>
    <row r="74" spans="1:7">
      <c r="A74" s="81"/>
      <c r="B74" s="32">
        <v>4</v>
      </c>
      <c r="C74" s="32">
        <v>7</v>
      </c>
      <c r="D74" s="35"/>
      <c r="E74" s="35"/>
      <c r="F74" s="35"/>
      <c r="G74" s="35"/>
    </row>
    <row r="75" spans="1:7">
      <c r="A75" s="81"/>
      <c r="B75" s="32">
        <v>4</v>
      </c>
      <c r="C75" s="32">
        <v>8</v>
      </c>
      <c r="D75" s="35"/>
      <c r="E75" s="35"/>
      <c r="F75" s="35"/>
      <c r="G75" s="35"/>
    </row>
    <row r="76" spans="1:7">
      <c r="A76" s="81"/>
      <c r="B76" s="32">
        <v>4</v>
      </c>
      <c r="C76" s="32">
        <v>9</v>
      </c>
      <c r="D76" s="35"/>
      <c r="E76" s="35"/>
      <c r="F76" s="35"/>
      <c r="G76" s="35"/>
    </row>
    <row r="77" spans="1:7">
      <c r="A77" s="81"/>
      <c r="B77" s="32">
        <v>4</v>
      </c>
      <c r="C77" s="32" t="s">
        <v>48</v>
      </c>
      <c r="D77" s="35"/>
      <c r="E77" s="35"/>
      <c r="F77" s="35"/>
      <c r="G77" s="35"/>
    </row>
    <row r="78" spans="1:7">
      <c r="A78" s="81"/>
      <c r="B78" s="32">
        <v>4</v>
      </c>
      <c r="C78" s="32" t="s">
        <v>146</v>
      </c>
      <c r="D78" s="35"/>
      <c r="E78" s="35"/>
      <c r="F78" s="35"/>
      <c r="G78" s="35"/>
    </row>
    <row r="79" spans="1:7">
      <c r="A79" s="81"/>
      <c r="B79" s="32">
        <v>4</v>
      </c>
      <c r="C79" s="32" t="s">
        <v>175</v>
      </c>
      <c r="D79" s="35"/>
      <c r="E79" s="35"/>
      <c r="F79" s="35"/>
      <c r="G79" s="35"/>
    </row>
    <row r="80" spans="1:7">
      <c r="A80" s="81"/>
      <c r="B80" s="32">
        <v>4</v>
      </c>
      <c r="C80" s="32" t="s">
        <v>204</v>
      </c>
      <c r="D80" s="35"/>
      <c r="E80" s="35"/>
      <c r="F80" s="35"/>
      <c r="G80" s="35"/>
    </row>
    <row r="81" spans="1:7">
      <c r="A81" s="81"/>
      <c r="B81" s="32">
        <v>4</v>
      </c>
      <c r="C81" s="32" t="s">
        <v>49</v>
      </c>
      <c r="D81" s="35"/>
      <c r="E81" s="35"/>
      <c r="F81" s="35"/>
      <c r="G81" s="35"/>
    </row>
    <row r="82" spans="1:7">
      <c r="A82" s="82"/>
      <c r="B82" s="36">
        <v>4</v>
      </c>
      <c r="C82" s="36" t="s">
        <v>69</v>
      </c>
      <c r="D82" s="38"/>
      <c r="E82" s="38"/>
      <c r="F82" s="38"/>
      <c r="G82" s="38"/>
    </row>
    <row r="83" spans="1:7">
      <c r="A83" s="80" t="s">
        <v>226</v>
      </c>
      <c r="B83" s="55">
        <v>5</v>
      </c>
      <c r="C83" s="55">
        <v>0</v>
      </c>
      <c r="D83" s="65" t="s">
        <v>219</v>
      </c>
      <c r="E83" s="65"/>
      <c r="F83" s="65"/>
      <c r="G83" s="65"/>
    </row>
    <row r="84" spans="1:7">
      <c r="A84" s="81"/>
      <c r="B84" s="32">
        <v>5</v>
      </c>
      <c r="C84" s="32">
        <v>1</v>
      </c>
      <c r="D84" s="35" t="s">
        <v>51</v>
      </c>
      <c r="E84" s="69" t="s">
        <v>238</v>
      </c>
      <c r="F84" s="35" t="s">
        <v>239</v>
      </c>
      <c r="G84" s="35" t="s">
        <v>230</v>
      </c>
    </row>
    <row r="85" spans="1:7">
      <c r="A85" s="81"/>
      <c r="B85" s="32">
        <v>5</v>
      </c>
      <c r="C85" s="32">
        <v>2</v>
      </c>
      <c r="D85" s="35" t="s">
        <v>277</v>
      </c>
      <c r="E85" s="35" t="s">
        <v>240</v>
      </c>
      <c r="F85" s="35" t="s">
        <v>241</v>
      </c>
      <c r="G85" s="35" t="s">
        <v>230</v>
      </c>
    </row>
    <row r="86" spans="1:7">
      <c r="A86" s="81"/>
      <c r="B86" s="32">
        <v>5</v>
      </c>
      <c r="C86" s="32">
        <v>3</v>
      </c>
      <c r="D86" s="35" t="s">
        <v>278</v>
      </c>
      <c r="E86" s="35" t="s">
        <v>242</v>
      </c>
      <c r="F86" s="35" t="s">
        <v>243</v>
      </c>
      <c r="G86" s="35" t="s">
        <v>230</v>
      </c>
    </row>
    <row r="87" spans="1:7">
      <c r="A87" s="81"/>
      <c r="B87" s="32">
        <v>5</v>
      </c>
      <c r="C87" s="32">
        <v>4</v>
      </c>
      <c r="D87" s="35" t="s">
        <v>417</v>
      </c>
      <c r="E87" s="69" t="s">
        <v>299</v>
      </c>
      <c r="F87" s="69" t="s">
        <v>300</v>
      </c>
      <c r="G87" s="35" t="s">
        <v>230</v>
      </c>
    </row>
    <row r="88" spans="1:7">
      <c r="A88" s="81"/>
      <c r="B88" s="32">
        <v>5</v>
      </c>
      <c r="C88" s="32">
        <v>5</v>
      </c>
      <c r="D88" s="35"/>
      <c r="E88" s="69"/>
      <c r="F88" s="35"/>
      <c r="G88" s="35"/>
    </row>
    <row r="89" spans="1:7">
      <c r="A89" s="81"/>
      <c r="B89" s="32">
        <v>5</v>
      </c>
      <c r="C89" s="32">
        <v>6</v>
      </c>
      <c r="D89" s="35"/>
      <c r="E89" s="35"/>
      <c r="F89" s="35"/>
      <c r="G89" s="35"/>
    </row>
    <row r="90" spans="1:7">
      <c r="A90" s="81"/>
      <c r="B90" s="32">
        <v>5</v>
      </c>
      <c r="C90" s="32">
        <v>7</v>
      </c>
      <c r="D90" s="35"/>
      <c r="E90" s="35"/>
      <c r="F90" s="35"/>
      <c r="G90" s="35"/>
    </row>
    <row r="91" spans="1:7">
      <c r="A91" s="81"/>
      <c r="B91" s="32">
        <v>5</v>
      </c>
      <c r="C91" s="32">
        <v>8</v>
      </c>
      <c r="D91" s="35"/>
      <c r="E91" s="35"/>
      <c r="F91" s="35"/>
      <c r="G91" s="35"/>
    </row>
    <row r="92" spans="1:7">
      <c r="A92" s="81"/>
      <c r="B92" s="32">
        <v>5</v>
      </c>
      <c r="C92" s="32">
        <v>9</v>
      </c>
      <c r="D92" s="35"/>
      <c r="E92" s="35"/>
      <c r="F92" s="35"/>
      <c r="G92" s="35"/>
    </row>
    <row r="93" spans="1:7">
      <c r="A93" s="81"/>
      <c r="B93" s="32">
        <v>5</v>
      </c>
      <c r="C93" s="32" t="s">
        <v>48</v>
      </c>
      <c r="D93" s="35"/>
      <c r="E93" s="35"/>
      <c r="F93" s="35"/>
      <c r="G93" s="35"/>
    </row>
    <row r="94" spans="1:7">
      <c r="A94" s="81"/>
      <c r="B94" s="32">
        <v>5</v>
      </c>
      <c r="C94" s="32" t="s">
        <v>146</v>
      </c>
      <c r="D94" s="35"/>
      <c r="E94" s="35"/>
      <c r="F94" s="35"/>
      <c r="G94" s="35"/>
    </row>
    <row r="95" spans="1:7">
      <c r="A95" s="81"/>
      <c r="B95" s="32">
        <v>5</v>
      </c>
      <c r="C95" s="32" t="s">
        <v>175</v>
      </c>
      <c r="D95" s="35"/>
      <c r="E95" s="35"/>
      <c r="F95" s="35"/>
      <c r="G95" s="35"/>
    </row>
    <row r="96" spans="1:7">
      <c r="A96" s="81"/>
      <c r="B96" s="32">
        <v>5</v>
      </c>
      <c r="C96" s="32" t="s">
        <v>204</v>
      </c>
      <c r="D96" s="35"/>
      <c r="E96" s="35"/>
      <c r="F96" s="35"/>
      <c r="G96" s="35"/>
    </row>
    <row r="97" spans="1:7">
      <c r="A97" s="81"/>
      <c r="B97" s="32">
        <v>5</v>
      </c>
      <c r="C97" s="32" t="s">
        <v>49</v>
      </c>
      <c r="D97" s="35"/>
      <c r="E97" s="35"/>
      <c r="F97" s="35"/>
      <c r="G97" s="35"/>
    </row>
    <row r="98" spans="1:7">
      <c r="A98" s="82"/>
      <c r="B98" s="36">
        <v>5</v>
      </c>
      <c r="C98" s="36" t="s">
        <v>69</v>
      </c>
      <c r="D98" s="38"/>
      <c r="E98" s="38"/>
      <c r="F98" s="38"/>
      <c r="G98" s="38"/>
    </row>
    <row r="99" spans="1:7">
      <c r="A99" s="80" t="s">
        <v>256</v>
      </c>
      <c r="B99" s="55">
        <v>6</v>
      </c>
      <c r="C99" s="55">
        <v>0</v>
      </c>
      <c r="D99" s="65" t="s">
        <v>219</v>
      </c>
      <c r="E99" s="65"/>
      <c r="F99" s="65"/>
      <c r="G99" s="65"/>
    </row>
    <row r="100" spans="1:7">
      <c r="A100" s="81"/>
      <c r="B100" s="32">
        <v>6</v>
      </c>
      <c r="C100" s="32">
        <v>1</v>
      </c>
      <c r="D100" s="35" t="s">
        <v>276</v>
      </c>
      <c r="E100" s="69" t="s">
        <v>298</v>
      </c>
      <c r="F100" s="35"/>
      <c r="G100" s="35"/>
    </row>
    <row r="101" spans="1:7">
      <c r="A101" s="81"/>
      <c r="B101" s="32">
        <v>6</v>
      </c>
      <c r="C101" s="32">
        <v>2</v>
      </c>
      <c r="D101" s="35" t="s">
        <v>311</v>
      </c>
      <c r="E101" s="69" t="s">
        <v>312</v>
      </c>
      <c r="F101" s="35"/>
      <c r="G101" s="35"/>
    </row>
    <row r="102" spans="1:7">
      <c r="A102" s="81"/>
      <c r="B102" s="32">
        <v>6</v>
      </c>
      <c r="C102" s="32">
        <v>3</v>
      </c>
      <c r="D102" s="35"/>
      <c r="E102" s="35"/>
      <c r="F102" s="35"/>
      <c r="G102" s="35"/>
    </row>
    <row r="103" spans="1:7">
      <c r="A103" s="81"/>
      <c r="B103" s="32">
        <v>6</v>
      </c>
      <c r="C103" s="32">
        <v>4</v>
      </c>
      <c r="D103" s="35"/>
      <c r="E103" s="35"/>
      <c r="F103" s="35"/>
      <c r="G103" s="35"/>
    </row>
    <row r="104" spans="1:7">
      <c r="A104" s="81"/>
      <c r="B104" s="32">
        <v>6</v>
      </c>
      <c r="C104" s="32">
        <v>5</v>
      </c>
      <c r="D104" s="35"/>
      <c r="E104" s="35"/>
      <c r="F104" s="35"/>
      <c r="G104" s="35"/>
    </row>
    <row r="105" spans="1:7">
      <c r="A105" s="81"/>
      <c r="B105" s="32">
        <v>6</v>
      </c>
      <c r="C105" s="32">
        <v>6</v>
      </c>
      <c r="D105" s="35"/>
      <c r="E105" s="35"/>
      <c r="F105" s="35"/>
      <c r="G105" s="35"/>
    </row>
    <row r="106" spans="1:7">
      <c r="A106" s="81"/>
      <c r="B106" s="32">
        <v>6</v>
      </c>
      <c r="C106" s="32">
        <v>7</v>
      </c>
      <c r="D106" s="35"/>
      <c r="E106" s="35"/>
      <c r="F106" s="35"/>
      <c r="G106" s="35"/>
    </row>
    <row r="107" spans="1:7">
      <c r="A107" s="81"/>
      <c r="B107" s="32">
        <v>6</v>
      </c>
      <c r="C107" s="32">
        <v>8</v>
      </c>
      <c r="D107" s="35"/>
      <c r="E107" s="35"/>
      <c r="F107" s="35"/>
      <c r="G107" s="35"/>
    </row>
    <row r="108" spans="1:7">
      <c r="A108" s="81"/>
      <c r="B108" s="32">
        <v>6</v>
      </c>
      <c r="C108" s="32">
        <v>9</v>
      </c>
      <c r="D108" s="35"/>
      <c r="E108" s="35"/>
      <c r="F108" s="35"/>
      <c r="G108" s="35"/>
    </row>
    <row r="109" spans="1:7">
      <c r="A109" s="81"/>
      <c r="B109" s="32">
        <v>6</v>
      </c>
      <c r="C109" s="32" t="s">
        <v>48</v>
      </c>
      <c r="D109" s="35"/>
      <c r="E109" s="35"/>
      <c r="F109" s="35"/>
      <c r="G109" s="35"/>
    </row>
    <row r="110" spans="1:7">
      <c r="A110" s="81"/>
      <c r="B110" s="32">
        <v>6</v>
      </c>
      <c r="C110" s="32" t="s">
        <v>146</v>
      </c>
      <c r="D110" s="35"/>
      <c r="E110" s="35"/>
      <c r="F110" s="35"/>
      <c r="G110" s="35"/>
    </row>
    <row r="111" spans="1:7">
      <c r="A111" s="81"/>
      <c r="B111" s="32">
        <v>6</v>
      </c>
      <c r="C111" s="32" t="s">
        <v>175</v>
      </c>
      <c r="D111" s="35"/>
      <c r="E111" s="35"/>
      <c r="F111" s="35"/>
      <c r="G111" s="35"/>
    </row>
    <row r="112" spans="1:7">
      <c r="A112" s="81"/>
      <c r="B112" s="32">
        <v>6</v>
      </c>
      <c r="C112" s="32" t="s">
        <v>204</v>
      </c>
      <c r="D112" s="35"/>
      <c r="E112" s="35"/>
      <c r="F112" s="35"/>
      <c r="G112" s="35"/>
    </row>
    <row r="113" spans="1:7">
      <c r="A113" s="81"/>
      <c r="B113" s="32">
        <v>6</v>
      </c>
      <c r="C113" s="32" t="s">
        <v>49</v>
      </c>
      <c r="D113" s="35"/>
      <c r="E113" s="35"/>
      <c r="F113" s="35"/>
      <c r="G113" s="35"/>
    </row>
    <row r="114" spans="1:7">
      <c r="A114" s="82"/>
      <c r="B114" s="36">
        <v>6</v>
      </c>
      <c r="C114" s="36" t="s">
        <v>69</v>
      </c>
      <c r="D114" s="38"/>
      <c r="E114" s="38"/>
      <c r="F114" s="38"/>
      <c r="G114" s="38"/>
    </row>
  </sheetData>
  <mergeCells count="9">
    <mergeCell ref="A99:A114"/>
    <mergeCell ref="A67:A82"/>
    <mergeCell ref="A83:A98"/>
    <mergeCell ref="E1:F1"/>
    <mergeCell ref="A3:A18"/>
    <mergeCell ref="B1:C1"/>
    <mergeCell ref="A19:A34"/>
    <mergeCell ref="A35:A50"/>
    <mergeCell ref="A51:A66"/>
  </mergeCells>
  <phoneticPr fontId="4" type="noConversion"/>
  <pageMargins left="0.7" right="0.7" top="0.75" bottom="0.75" header="0.3" footer="0.3"/>
  <pageSetup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3D8C-5644-4ADF-B691-14AEECC16D73}">
  <sheetPr codeName="Sheet8"/>
  <dimension ref="A1:F114"/>
  <sheetViews>
    <sheetView workbookViewId="0">
      <pane xSplit="3" ySplit="2" topLeftCell="D15" activePane="bottomRight" state="frozen"/>
      <selection pane="topRight" activeCell="D1" sqref="D1"/>
      <selection pane="bottomLeft" activeCell="A3" sqref="A3"/>
      <selection pane="bottomRight" activeCell="E34" sqref="E34"/>
    </sheetView>
  </sheetViews>
  <sheetFormatPr defaultRowHeight="15"/>
  <cols>
    <col min="1" max="1" width="22.42578125" style="41" customWidth="1"/>
    <col min="2" max="3" width="9.140625" style="39"/>
    <col min="4" max="4" width="53" style="41" customWidth="1"/>
  </cols>
  <sheetData>
    <row r="1" spans="1:4" ht="18.75">
      <c r="A1" s="67" t="s">
        <v>216</v>
      </c>
      <c r="B1" s="86" t="s">
        <v>215</v>
      </c>
      <c r="C1" s="86"/>
      <c r="D1" s="67" t="s">
        <v>46</v>
      </c>
    </row>
    <row r="2" spans="1:4">
      <c r="A2" s="68"/>
      <c r="B2" s="26" t="s">
        <v>217</v>
      </c>
      <c r="C2" s="26" t="s">
        <v>218</v>
      </c>
      <c r="D2" s="68"/>
    </row>
    <row r="3" spans="1:4">
      <c r="A3" s="83" t="s">
        <v>260</v>
      </c>
      <c r="B3" s="29">
        <v>0</v>
      </c>
      <c r="C3" s="29">
        <v>0</v>
      </c>
      <c r="D3" s="31" t="s">
        <v>219</v>
      </c>
    </row>
    <row r="4" spans="1:4">
      <c r="A4" s="81"/>
      <c r="B4" s="32">
        <v>0</v>
      </c>
      <c r="C4" s="32">
        <v>1</v>
      </c>
      <c r="D4" s="35" t="s">
        <v>38</v>
      </c>
    </row>
    <row r="5" spans="1:4">
      <c r="A5" s="81"/>
      <c r="B5" s="32">
        <v>0</v>
      </c>
      <c r="C5" s="32">
        <v>2</v>
      </c>
      <c r="D5" s="35"/>
    </row>
    <row r="6" spans="1:4">
      <c r="A6" s="81"/>
      <c r="B6" s="32">
        <v>0</v>
      </c>
      <c r="C6" s="32">
        <v>3</v>
      </c>
      <c r="D6" s="35"/>
    </row>
    <row r="7" spans="1:4">
      <c r="A7" s="81"/>
      <c r="B7" s="32">
        <v>0</v>
      </c>
      <c r="C7" s="32">
        <v>4</v>
      </c>
      <c r="D7" s="35"/>
    </row>
    <row r="8" spans="1:4">
      <c r="A8" s="81"/>
      <c r="B8" s="32">
        <v>0</v>
      </c>
      <c r="C8" s="32">
        <v>5</v>
      </c>
      <c r="D8" s="35"/>
    </row>
    <row r="9" spans="1:4">
      <c r="A9" s="81"/>
      <c r="B9" s="32">
        <v>0</v>
      </c>
      <c r="C9" s="32">
        <v>6</v>
      </c>
      <c r="D9" s="35"/>
    </row>
    <row r="10" spans="1:4">
      <c r="A10" s="81"/>
      <c r="B10" s="32">
        <v>0</v>
      </c>
      <c r="C10" s="32">
        <v>7</v>
      </c>
      <c r="D10" s="35"/>
    </row>
    <row r="11" spans="1:4">
      <c r="A11" s="81"/>
      <c r="B11" s="32">
        <v>0</v>
      </c>
      <c r="C11" s="32">
        <v>8</v>
      </c>
      <c r="D11" s="35"/>
    </row>
    <row r="12" spans="1:4">
      <c r="A12" s="81"/>
      <c r="B12" s="32">
        <v>0</v>
      </c>
      <c r="C12" s="32">
        <v>9</v>
      </c>
      <c r="D12" s="35"/>
    </row>
    <row r="13" spans="1:4">
      <c r="A13" s="81"/>
      <c r="B13" s="32">
        <v>0</v>
      </c>
      <c r="C13" s="32" t="s">
        <v>48</v>
      </c>
      <c r="D13" s="35"/>
    </row>
    <row r="14" spans="1:4">
      <c r="A14" s="81"/>
      <c r="B14" s="32">
        <v>0</v>
      </c>
      <c r="C14" s="32" t="s">
        <v>146</v>
      </c>
      <c r="D14" s="35"/>
    </row>
    <row r="15" spans="1:4">
      <c r="A15" s="81"/>
      <c r="B15" s="32">
        <v>0</v>
      </c>
      <c r="C15" s="32" t="s">
        <v>175</v>
      </c>
      <c r="D15" s="35"/>
    </row>
    <row r="16" spans="1:4">
      <c r="A16" s="81"/>
      <c r="B16" s="32">
        <v>0</v>
      </c>
      <c r="C16" s="32" t="s">
        <v>204</v>
      </c>
      <c r="D16" s="35"/>
    </row>
    <row r="17" spans="1:6">
      <c r="A17" s="81"/>
      <c r="B17" s="32">
        <v>0</v>
      </c>
      <c r="C17" s="32" t="s">
        <v>49</v>
      </c>
      <c r="D17" s="35"/>
    </row>
    <row r="18" spans="1:6">
      <c r="A18" s="82"/>
      <c r="B18" s="36">
        <v>0</v>
      </c>
      <c r="C18" s="36" t="s">
        <v>69</v>
      </c>
      <c r="D18" s="38"/>
    </row>
    <row r="19" spans="1:6">
      <c r="A19" s="88" t="s">
        <v>261</v>
      </c>
      <c r="B19" s="55">
        <v>1</v>
      </c>
      <c r="C19" s="55">
        <v>0</v>
      </c>
      <c r="D19" s="65" t="s">
        <v>219</v>
      </c>
    </row>
    <row r="20" spans="1:6">
      <c r="A20" s="89"/>
      <c r="B20" s="32">
        <v>1</v>
      </c>
      <c r="C20" s="32">
        <v>1</v>
      </c>
      <c r="D20" s="35" t="s">
        <v>259</v>
      </c>
      <c r="E20" s="71" t="s">
        <v>405</v>
      </c>
      <c r="F20" t="str">
        <f t="shared" ref="F20:F29" si="0">CONCATENATE("&amp;h",B20,C20)</f>
        <v>&amp;h11</v>
      </c>
    </row>
    <row r="21" spans="1:6">
      <c r="A21" s="89"/>
      <c r="B21" s="32">
        <v>1</v>
      </c>
      <c r="C21" s="32">
        <v>2</v>
      </c>
      <c r="D21" s="35" t="s">
        <v>262</v>
      </c>
      <c r="E21" s="71" t="s">
        <v>405</v>
      </c>
      <c r="F21" t="str">
        <f t="shared" si="0"/>
        <v>&amp;h12</v>
      </c>
    </row>
    <row r="22" spans="1:6">
      <c r="A22" s="89"/>
      <c r="B22" s="32">
        <v>1</v>
      </c>
      <c r="C22" s="32">
        <v>3</v>
      </c>
      <c r="D22" s="35" t="s">
        <v>263</v>
      </c>
      <c r="E22" s="71" t="s">
        <v>405</v>
      </c>
      <c r="F22" t="str">
        <f t="shared" si="0"/>
        <v>&amp;h13</v>
      </c>
    </row>
    <row r="23" spans="1:6">
      <c r="A23" s="89"/>
      <c r="B23" s="32">
        <v>1</v>
      </c>
      <c r="C23" s="32">
        <v>4</v>
      </c>
      <c r="D23" s="35" t="s">
        <v>264</v>
      </c>
      <c r="E23" s="71" t="s">
        <v>405</v>
      </c>
      <c r="F23" t="str">
        <f t="shared" si="0"/>
        <v>&amp;h14</v>
      </c>
    </row>
    <row r="24" spans="1:6">
      <c r="A24" s="89"/>
      <c r="B24" s="32">
        <v>1</v>
      </c>
      <c r="C24" s="32">
        <v>5</v>
      </c>
      <c r="D24" s="35" t="s">
        <v>265</v>
      </c>
      <c r="E24" s="71" t="s">
        <v>405</v>
      </c>
      <c r="F24" t="str">
        <f t="shared" si="0"/>
        <v>&amp;h15</v>
      </c>
    </row>
    <row r="25" spans="1:6">
      <c r="A25" s="89"/>
      <c r="B25" s="32">
        <v>1</v>
      </c>
      <c r="C25" s="32">
        <v>6</v>
      </c>
      <c r="D25" s="35" t="s">
        <v>267</v>
      </c>
      <c r="E25" s="71" t="s">
        <v>405</v>
      </c>
      <c r="F25" t="str">
        <f t="shared" si="0"/>
        <v>&amp;h16</v>
      </c>
    </row>
    <row r="26" spans="1:6">
      <c r="A26" s="89"/>
      <c r="B26" s="32">
        <v>1</v>
      </c>
      <c r="C26" s="32">
        <v>7</v>
      </c>
      <c r="D26" s="35" t="s">
        <v>279</v>
      </c>
      <c r="E26" s="71" t="s">
        <v>405</v>
      </c>
      <c r="F26" t="str">
        <f t="shared" si="0"/>
        <v>&amp;h17</v>
      </c>
    </row>
    <row r="27" spans="1:6">
      <c r="A27" s="89"/>
      <c r="B27" s="32">
        <v>1</v>
      </c>
      <c r="C27" s="32">
        <v>8</v>
      </c>
      <c r="D27" s="35" t="s">
        <v>294</v>
      </c>
      <c r="E27" s="71" t="s">
        <v>405</v>
      </c>
      <c r="F27" t="str">
        <f t="shared" si="0"/>
        <v>&amp;h18</v>
      </c>
    </row>
    <row r="28" spans="1:6">
      <c r="A28" s="89"/>
      <c r="B28" s="32">
        <v>1</v>
      </c>
      <c r="C28" s="32">
        <v>9</v>
      </c>
      <c r="D28" s="35" t="s">
        <v>353</v>
      </c>
      <c r="E28" s="71" t="s">
        <v>405</v>
      </c>
      <c r="F28" t="str">
        <f t="shared" si="0"/>
        <v>&amp;h19</v>
      </c>
    </row>
    <row r="29" spans="1:6">
      <c r="A29" s="89"/>
      <c r="B29" s="32">
        <v>1</v>
      </c>
      <c r="C29" s="32" t="s">
        <v>48</v>
      </c>
      <c r="D29" s="35" t="s">
        <v>388</v>
      </c>
      <c r="E29" s="71" t="s">
        <v>405</v>
      </c>
      <c r="F29" t="str">
        <f t="shared" si="0"/>
        <v>&amp;h1A</v>
      </c>
    </row>
    <row r="30" spans="1:6">
      <c r="A30" s="89"/>
      <c r="B30" s="32">
        <v>1</v>
      </c>
      <c r="C30" s="32" t="s">
        <v>146</v>
      </c>
      <c r="D30" s="35" t="s">
        <v>460</v>
      </c>
      <c r="E30" s="71" t="s">
        <v>405</v>
      </c>
      <c r="F30" t="str">
        <f t="shared" ref="F30:F34" si="1">CONCATENATE("&amp;h",B30,C30)</f>
        <v>&amp;h1B</v>
      </c>
    </row>
    <row r="31" spans="1:6">
      <c r="A31" s="89"/>
      <c r="B31" s="32">
        <v>1</v>
      </c>
      <c r="C31" s="32" t="s">
        <v>175</v>
      </c>
      <c r="D31" s="35" t="s">
        <v>461</v>
      </c>
      <c r="E31" s="71" t="s">
        <v>405</v>
      </c>
      <c r="F31" t="str">
        <f t="shared" si="1"/>
        <v>&amp;h1C</v>
      </c>
    </row>
    <row r="32" spans="1:6">
      <c r="A32" s="89"/>
      <c r="B32" s="32">
        <v>1</v>
      </c>
      <c r="C32" s="32" t="s">
        <v>204</v>
      </c>
      <c r="D32" s="35" t="s">
        <v>462</v>
      </c>
      <c r="E32" s="71" t="s">
        <v>405</v>
      </c>
      <c r="F32" t="str">
        <f t="shared" si="1"/>
        <v>&amp;h1D</v>
      </c>
    </row>
    <row r="33" spans="1:6">
      <c r="A33" s="89"/>
      <c r="B33" s="32">
        <v>1</v>
      </c>
      <c r="C33" s="32" t="s">
        <v>49</v>
      </c>
      <c r="D33" s="35" t="s">
        <v>478</v>
      </c>
      <c r="E33" t="s">
        <v>405</v>
      </c>
      <c r="F33" t="str">
        <f t="shared" si="1"/>
        <v>&amp;h1E</v>
      </c>
    </row>
    <row r="34" spans="1:6">
      <c r="A34" s="89"/>
      <c r="B34" s="32">
        <v>1</v>
      </c>
      <c r="C34" s="32" t="s">
        <v>69</v>
      </c>
      <c r="D34" s="35" t="s">
        <v>479</v>
      </c>
      <c r="E34" t="s">
        <v>405</v>
      </c>
      <c r="F34" t="str">
        <f t="shared" si="1"/>
        <v>&amp;h1F</v>
      </c>
    </row>
    <row r="35" spans="1:6">
      <c r="A35" s="89"/>
      <c r="B35" s="32">
        <v>2</v>
      </c>
      <c r="C35" s="32">
        <v>0</v>
      </c>
      <c r="D35" s="35"/>
    </row>
    <row r="36" spans="1:6">
      <c r="A36" s="89"/>
      <c r="B36" s="32">
        <v>2</v>
      </c>
      <c r="C36" s="32">
        <v>1</v>
      </c>
      <c r="D36" s="35"/>
    </row>
    <row r="37" spans="1:6">
      <c r="A37" s="89"/>
      <c r="B37" s="32">
        <v>2</v>
      </c>
      <c r="C37" s="32">
        <v>2</v>
      </c>
      <c r="D37" s="35"/>
    </row>
    <row r="38" spans="1:6">
      <c r="A38" s="89"/>
      <c r="B38" s="32">
        <v>2</v>
      </c>
      <c r="C38" s="32">
        <v>3</v>
      </c>
      <c r="D38" s="35"/>
    </row>
    <row r="39" spans="1:6">
      <c r="A39" s="89"/>
      <c r="B39" s="32">
        <v>2</v>
      </c>
      <c r="C39" s="32">
        <v>4</v>
      </c>
      <c r="D39" s="35"/>
    </row>
    <row r="40" spans="1:6">
      <c r="A40" s="89"/>
      <c r="B40" s="32">
        <v>2</v>
      </c>
      <c r="C40" s="32">
        <v>5</v>
      </c>
      <c r="D40" s="35"/>
    </row>
    <row r="41" spans="1:6">
      <c r="A41" s="89"/>
      <c r="B41" s="32">
        <v>2</v>
      </c>
      <c r="C41" s="32">
        <v>6</v>
      </c>
      <c r="D41" s="35"/>
    </row>
    <row r="42" spans="1:6">
      <c r="A42" s="89"/>
      <c r="B42" s="32">
        <v>2</v>
      </c>
      <c r="C42" s="32">
        <v>7</v>
      </c>
      <c r="D42" s="35"/>
    </row>
    <row r="43" spans="1:6">
      <c r="A43" s="89"/>
      <c r="B43" s="32">
        <v>2</v>
      </c>
      <c r="C43" s="32">
        <v>8</v>
      </c>
      <c r="D43" s="35"/>
    </row>
    <row r="44" spans="1:6">
      <c r="A44" s="89"/>
      <c r="B44" s="32">
        <v>2</v>
      </c>
      <c r="C44" s="32">
        <v>9</v>
      </c>
      <c r="D44" s="35"/>
    </row>
    <row r="45" spans="1:6">
      <c r="A45" s="89"/>
      <c r="B45" s="32">
        <v>2</v>
      </c>
      <c r="C45" s="32" t="s">
        <v>48</v>
      </c>
      <c r="D45" s="35"/>
    </row>
    <row r="46" spans="1:6">
      <c r="A46" s="89"/>
      <c r="B46" s="32">
        <v>2</v>
      </c>
      <c r="C46" s="32" t="s">
        <v>146</v>
      </c>
      <c r="D46" s="35"/>
    </row>
    <row r="47" spans="1:6">
      <c r="A47" s="89"/>
      <c r="B47" s="32">
        <v>2</v>
      </c>
      <c r="C47" s="32" t="s">
        <v>175</v>
      </c>
      <c r="D47" s="35"/>
    </row>
    <row r="48" spans="1:6">
      <c r="A48" s="89"/>
      <c r="B48" s="32">
        <v>2</v>
      </c>
      <c r="C48" s="32" t="s">
        <v>204</v>
      </c>
      <c r="D48" s="35"/>
    </row>
    <row r="49" spans="1:4">
      <c r="A49" s="89"/>
      <c r="B49" s="32">
        <v>2</v>
      </c>
      <c r="C49" s="32" t="s">
        <v>49</v>
      </c>
      <c r="D49" s="35"/>
    </row>
    <row r="50" spans="1:4">
      <c r="A50" s="89"/>
      <c r="B50" s="32">
        <v>2</v>
      </c>
      <c r="C50" s="32" t="s">
        <v>69</v>
      </c>
      <c r="D50" s="35"/>
    </row>
    <row r="51" spans="1:4">
      <c r="A51" s="89"/>
      <c r="B51" s="32">
        <v>3</v>
      </c>
      <c r="C51" s="32">
        <v>0</v>
      </c>
      <c r="D51" s="35"/>
    </row>
    <row r="52" spans="1:4">
      <c r="A52" s="89"/>
      <c r="B52" s="32">
        <v>3</v>
      </c>
      <c r="C52" s="32">
        <v>1</v>
      </c>
      <c r="D52" s="35"/>
    </row>
    <row r="53" spans="1:4">
      <c r="A53" s="89"/>
      <c r="B53" s="32">
        <v>3</v>
      </c>
      <c r="C53" s="32">
        <v>2</v>
      </c>
      <c r="D53" s="35"/>
    </row>
    <row r="54" spans="1:4">
      <c r="A54" s="89"/>
      <c r="B54" s="32">
        <v>3</v>
      </c>
      <c r="C54" s="32">
        <v>3</v>
      </c>
      <c r="D54" s="35"/>
    </row>
    <row r="55" spans="1:4">
      <c r="A55" s="89"/>
      <c r="B55" s="32">
        <v>3</v>
      </c>
      <c r="C55" s="32">
        <v>4</v>
      </c>
      <c r="D55" s="35"/>
    </row>
    <row r="56" spans="1:4">
      <c r="A56" s="89"/>
      <c r="B56" s="32">
        <v>3</v>
      </c>
      <c r="C56" s="32">
        <v>5</v>
      </c>
      <c r="D56" s="35"/>
    </row>
    <row r="57" spans="1:4">
      <c r="A57" s="89"/>
      <c r="B57" s="32">
        <v>3</v>
      </c>
      <c r="C57" s="32">
        <v>6</v>
      </c>
      <c r="D57" s="35"/>
    </row>
    <row r="58" spans="1:4">
      <c r="A58" s="89"/>
      <c r="B58" s="32">
        <v>3</v>
      </c>
      <c r="C58" s="32">
        <v>7</v>
      </c>
      <c r="D58" s="35"/>
    </row>
    <row r="59" spans="1:4">
      <c r="A59" s="89"/>
      <c r="B59" s="32">
        <v>3</v>
      </c>
      <c r="C59" s="32">
        <v>8</v>
      </c>
      <c r="D59" s="35"/>
    </row>
    <row r="60" spans="1:4">
      <c r="A60" s="89"/>
      <c r="B60" s="32">
        <v>3</v>
      </c>
      <c r="C60" s="32">
        <v>9</v>
      </c>
      <c r="D60" s="35"/>
    </row>
    <row r="61" spans="1:4">
      <c r="A61" s="89"/>
      <c r="B61" s="32">
        <v>3</v>
      </c>
      <c r="C61" s="32" t="s">
        <v>48</v>
      </c>
      <c r="D61" s="35"/>
    </row>
    <row r="62" spans="1:4">
      <c r="A62" s="89"/>
      <c r="B62" s="32">
        <v>3</v>
      </c>
      <c r="C62" s="32" t="s">
        <v>146</v>
      </c>
      <c r="D62" s="35"/>
    </row>
    <row r="63" spans="1:4">
      <c r="A63" s="89"/>
      <c r="B63" s="32">
        <v>3</v>
      </c>
      <c r="C63" s="32" t="s">
        <v>175</v>
      </c>
      <c r="D63" s="35"/>
    </row>
    <row r="64" spans="1:4">
      <c r="A64" s="89"/>
      <c r="B64" s="32">
        <v>3</v>
      </c>
      <c r="C64" s="32" t="s">
        <v>204</v>
      </c>
      <c r="D64" s="35"/>
    </row>
    <row r="65" spans="1:4">
      <c r="A65" s="89"/>
      <c r="B65" s="32">
        <v>3</v>
      </c>
      <c r="C65" s="32" t="s">
        <v>49</v>
      </c>
      <c r="D65" s="35"/>
    </row>
    <row r="66" spans="1:4">
      <c r="A66" s="89"/>
      <c r="B66" s="32">
        <v>3</v>
      </c>
      <c r="C66" s="32" t="s">
        <v>69</v>
      </c>
      <c r="D66" s="35"/>
    </row>
    <row r="67" spans="1:4">
      <c r="A67" s="89"/>
      <c r="B67" s="32">
        <v>4</v>
      </c>
      <c r="C67" s="32">
        <v>0</v>
      </c>
      <c r="D67" s="35"/>
    </row>
    <row r="68" spans="1:4">
      <c r="A68" s="89"/>
      <c r="B68" s="32">
        <v>4</v>
      </c>
      <c r="C68" s="32">
        <v>1</v>
      </c>
      <c r="D68" s="35"/>
    </row>
    <row r="69" spans="1:4">
      <c r="A69" s="89"/>
      <c r="B69" s="32">
        <v>4</v>
      </c>
      <c r="C69" s="32">
        <v>2</v>
      </c>
      <c r="D69" s="35"/>
    </row>
    <row r="70" spans="1:4">
      <c r="A70" s="89"/>
      <c r="B70" s="32">
        <v>4</v>
      </c>
      <c r="C70" s="32">
        <v>3</v>
      </c>
      <c r="D70" s="35"/>
    </row>
    <row r="71" spans="1:4">
      <c r="A71" s="89"/>
      <c r="B71" s="32">
        <v>4</v>
      </c>
      <c r="C71" s="32">
        <v>4</v>
      </c>
      <c r="D71" s="35"/>
    </row>
    <row r="72" spans="1:4">
      <c r="A72" s="89"/>
      <c r="B72" s="32">
        <v>4</v>
      </c>
      <c r="C72" s="32">
        <v>5</v>
      </c>
      <c r="D72" s="35"/>
    </row>
    <row r="73" spans="1:4">
      <c r="A73" s="89"/>
      <c r="B73" s="32">
        <v>4</v>
      </c>
      <c r="C73" s="32">
        <v>6</v>
      </c>
      <c r="D73" s="35"/>
    </row>
    <row r="74" spans="1:4">
      <c r="A74" s="89"/>
      <c r="B74" s="32">
        <v>4</v>
      </c>
      <c r="C74" s="32">
        <v>7</v>
      </c>
      <c r="D74" s="35"/>
    </row>
    <row r="75" spans="1:4">
      <c r="A75" s="89"/>
      <c r="B75" s="32">
        <v>4</v>
      </c>
      <c r="C75" s="32">
        <v>8</v>
      </c>
      <c r="D75" s="35"/>
    </row>
    <row r="76" spans="1:4">
      <c r="A76" s="89"/>
      <c r="B76" s="32">
        <v>4</v>
      </c>
      <c r="C76" s="32">
        <v>9</v>
      </c>
      <c r="D76" s="35"/>
    </row>
    <row r="77" spans="1:4">
      <c r="A77" s="89"/>
      <c r="B77" s="32">
        <v>4</v>
      </c>
      <c r="C77" s="32" t="s">
        <v>48</v>
      </c>
      <c r="D77" s="35"/>
    </row>
    <row r="78" spans="1:4">
      <c r="A78" s="89"/>
      <c r="B78" s="32">
        <v>4</v>
      </c>
      <c r="C78" s="32" t="s">
        <v>146</v>
      </c>
      <c r="D78" s="35"/>
    </row>
    <row r="79" spans="1:4">
      <c r="A79" s="89"/>
      <c r="B79" s="32">
        <v>4</v>
      </c>
      <c r="C79" s="32" t="s">
        <v>175</v>
      </c>
      <c r="D79" s="35"/>
    </row>
    <row r="80" spans="1:4">
      <c r="A80" s="89"/>
      <c r="B80" s="32">
        <v>4</v>
      </c>
      <c r="C80" s="32" t="s">
        <v>204</v>
      </c>
      <c r="D80" s="35"/>
    </row>
    <row r="81" spans="1:4">
      <c r="A81" s="89"/>
      <c r="B81" s="32">
        <v>4</v>
      </c>
      <c r="C81" s="32" t="s">
        <v>49</v>
      </c>
      <c r="D81" s="35"/>
    </row>
    <row r="82" spans="1:4">
      <c r="A82" s="89"/>
      <c r="B82" s="32">
        <v>4</v>
      </c>
      <c r="C82" s="32" t="s">
        <v>69</v>
      </c>
      <c r="D82" s="35"/>
    </row>
    <row r="83" spans="1:4">
      <c r="A83" s="89"/>
      <c r="B83" s="32">
        <v>5</v>
      </c>
      <c r="C83" s="32">
        <v>0</v>
      </c>
      <c r="D83" s="35"/>
    </row>
    <row r="84" spans="1:4">
      <c r="A84" s="89"/>
      <c r="B84" s="32">
        <v>5</v>
      </c>
      <c r="C84" s="32">
        <v>1</v>
      </c>
      <c r="D84" s="35"/>
    </row>
    <row r="85" spans="1:4">
      <c r="A85" s="89"/>
      <c r="B85" s="32">
        <v>5</v>
      </c>
      <c r="C85" s="32">
        <v>2</v>
      </c>
      <c r="D85" s="35"/>
    </row>
    <row r="86" spans="1:4">
      <c r="A86" s="89"/>
      <c r="B86" s="32">
        <v>5</v>
      </c>
      <c r="C86" s="32">
        <v>3</v>
      </c>
      <c r="D86" s="35"/>
    </row>
    <row r="87" spans="1:4">
      <c r="A87" s="89"/>
      <c r="B87" s="32">
        <v>5</v>
      </c>
      <c r="C87" s="32">
        <v>4</v>
      </c>
      <c r="D87" s="35"/>
    </row>
    <row r="88" spans="1:4">
      <c r="A88" s="89"/>
      <c r="B88" s="32">
        <v>5</v>
      </c>
      <c r="C88" s="32">
        <v>5</v>
      </c>
      <c r="D88" s="35"/>
    </row>
    <row r="89" spans="1:4">
      <c r="A89" s="89"/>
      <c r="B89" s="32">
        <v>5</v>
      </c>
      <c r="C89" s="32">
        <v>6</v>
      </c>
      <c r="D89" s="35"/>
    </row>
    <row r="90" spans="1:4">
      <c r="A90" s="89"/>
      <c r="B90" s="32">
        <v>5</v>
      </c>
      <c r="C90" s="32">
        <v>7</v>
      </c>
      <c r="D90" s="35"/>
    </row>
    <row r="91" spans="1:4">
      <c r="A91" s="89"/>
      <c r="B91" s="32">
        <v>5</v>
      </c>
      <c r="C91" s="32">
        <v>8</v>
      </c>
      <c r="D91" s="35"/>
    </row>
    <row r="92" spans="1:4">
      <c r="A92" s="89"/>
      <c r="B92" s="32">
        <v>5</v>
      </c>
      <c r="C92" s="32">
        <v>9</v>
      </c>
      <c r="D92" s="35"/>
    </row>
    <row r="93" spans="1:4">
      <c r="A93" s="89"/>
      <c r="B93" s="32">
        <v>5</v>
      </c>
      <c r="C93" s="32" t="s">
        <v>48</v>
      </c>
      <c r="D93" s="35"/>
    </row>
    <row r="94" spans="1:4">
      <c r="A94" s="89"/>
      <c r="B94" s="32">
        <v>5</v>
      </c>
      <c r="C94" s="32" t="s">
        <v>146</v>
      </c>
      <c r="D94" s="35"/>
    </row>
    <row r="95" spans="1:4">
      <c r="A95" s="89"/>
      <c r="B95" s="32">
        <v>5</v>
      </c>
      <c r="C95" s="32" t="s">
        <v>175</v>
      </c>
      <c r="D95" s="35"/>
    </row>
    <row r="96" spans="1:4">
      <c r="A96" s="89"/>
      <c r="B96" s="32">
        <v>5</v>
      </c>
      <c r="C96" s="32" t="s">
        <v>204</v>
      </c>
      <c r="D96" s="35"/>
    </row>
    <row r="97" spans="1:4">
      <c r="A97" s="89"/>
      <c r="B97" s="32">
        <v>5</v>
      </c>
      <c r="C97" s="32" t="s">
        <v>49</v>
      </c>
      <c r="D97" s="35"/>
    </row>
    <row r="98" spans="1:4">
      <c r="A98" s="89"/>
      <c r="B98" s="32">
        <v>5</v>
      </c>
      <c r="C98" s="32" t="s">
        <v>69</v>
      </c>
      <c r="D98" s="35"/>
    </row>
    <row r="99" spans="1:4">
      <c r="A99" s="89"/>
      <c r="B99" s="32">
        <v>6</v>
      </c>
      <c r="C99" s="32">
        <v>0</v>
      </c>
      <c r="D99" s="35"/>
    </row>
    <row r="100" spans="1:4">
      <c r="A100" s="89"/>
      <c r="B100" s="32">
        <v>6</v>
      </c>
      <c r="C100" s="32">
        <v>1</v>
      </c>
      <c r="D100" s="35"/>
    </row>
    <row r="101" spans="1:4">
      <c r="A101" s="89"/>
      <c r="B101" s="32">
        <v>5</v>
      </c>
      <c r="C101" s="32">
        <v>2</v>
      </c>
      <c r="D101" s="35"/>
    </row>
    <row r="102" spans="1:4">
      <c r="A102" s="89"/>
      <c r="B102" s="32">
        <v>5</v>
      </c>
      <c r="C102" s="32">
        <v>3</v>
      </c>
      <c r="D102" s="35"/>
    </row>
    <row r="103" spans="1:4">
      <c r="A103" s="89"/>
      <c r="B103" s="32">
        <v>5</v>
      </c>
      <c r="C103" s="32">
        <v>4</v>
      </c>
      <c r="D103" s="35"/>
    </row>
    <row r="104" spans="1:4">
      <c r="A104" s="89"/>
      <c r="B104" s="32">
        <v>5</v>
      </c>
      <c r="C104" s="32">
        <v>5</v>
      </c>
      <c r="D104" s="35"/>
    </row>
    <row r="105" spans="1:4">
      <c r="A105" s="89"/>
      <c r="B105" s="32">
        <v>5</v>
      </c>
      <c r="C105" s="32">
        <v>6</v>
      </c>
      <c r="D105" s="35"/>
    </row>
    <row r="106" spans="1:4">
      <c r="A106" s="89"/>
      <c r="B106" s="32">
        <v>5</v>
      </c>
      <c r="C106" s="32">
        <v>7</v>
      </c>
      <c r="D106" s="35"/>
    </row>
    <row r="107" spans="1:4">
      <c r="A107" s="89"/>
      <c r="B107" s="32">
        <v>5</v>
      </c>
      <c r="C107" s="32">
        <v>8</v>
      </c>
      <c r="D107" s="35"/>
    </row>
    <row r="108" spans="1:4">
      <c r="A108" s="89"/>
      <c r="B108" s="32">
        <v>5</v>
      </c>
      <c r="C108" s="32">
        <v>9</v>
      </c>
      <c r="D108" s="35"/>
    </row>
    <row r="109" spans="1:4">
      <c r="A109" s="89"/>
      <c r="B109" s="32">
        <v>5</v>
      </c>
      <c r="C109" s="32" t="s">
        <v>48</v>
      </c>
      <c r="D109" s="35"/>
    </row>
    <row r="110" spans="1:4">
      <c r="A110" s="89"/>
      <c r="B110" s="32">
        <v>5</v>
      </c>
      <c r="C110" s="32" t="s">
        <v>146</v>
      </c>
      <c r="D110" s="35"/>
    </row>
    <row r="111" spans="1:4">
      <c r="A111" s="89"/>
      <c r="B111" s="32">
        <v>5</v>
      </c>
      <c r="C111" s="32" t="s">
        <v>175</v>
      </c>
      <c r="D111" s="35"/>
    </row>
    <row r="112" spans="1:4">
      <c r="A112" s="89"/>
      <c r="B112" s="32">
        <v>5</v>
      </c>
      <c r="C112" s="32" t="s">
        <v>204</v>
      </c>
      <c r="D112" s="35"/>
    </row>
    <row r="113" spans="1:4">
      <c r="A113" s="89"/>
      <c r="B113" s="32">
        <v>5</v>
      </c>
      <c r="C113" s="32" t="s">
        <v>49</v>
      </c>
      <c r="D113" s="35"/>
    </row>
    <row r="114" spans="1:4">
      <c r="A114" s="90"/>
      <c r="B114" s="36">
        <v>5</v>
      </c>
      <c r="C114" s="36" t="s">
        <v>69</v>
      </c>
      <c r="D114" s="38"/>
    </row>
  </sheetData>
  <mergeCells count="3">
    <mergeCell ref="A19:A114"/>
    <mergeCell ref="B1:C1"/>
    <mergeCell ref="A3:A18"/>
  </mergeCells>
  <pageMargins left="0.7" right="0.7" top="0.75" bottom="0.75" header="0.3" footer="0.3"/>
  <pageSetup orientation="portrait" horizontalDpi="300" verticalDpi="30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560C6-0C8F-46D9-A37B-2F40C3C4CBF6}">
  <sheetPr codeName="Sheet4"/>
  <dimension ref="A1:M69"/>
  <sheetViews>
    <sheetView topLeftCell="A28" workbookViewId="0">
      <selection activeCell="J43" sqref="J43:J44"/>
    </sheetView>
  </sheetViews>
  <sheetFormatPr defaultRowHeight="15"/>
  <cols>
    <col min="1" max="1" width="9.140625" style="3"/>
    <col min="2" max="2" width="23.7109375" style="1" customWidth="1"/>
    <col min="3" max="3" width="9.140625" style="1"/>
    <col min="4" max="5" width="10" style="3" customWidth="1"/>
    <col min="6" max="7" width="9.140625" style="1" customWidth="1"/>
    <col min="8" max="8" width="11.7109375" style="1" bestFit="1" customWidth="1"/>
    <col min="9" max="9" width="16.85546875" style="1" customWidth="1"/>
    <col min="10" max="10" width="62.42578125" style="1" customWidth="1"/>
    <col min="11" max="16384" width="9.140625" style="1"/>
  </cols>
  <sheetData>
    <row r="1" spans="1:10">
      <c r="A1" s="4" t="s">
        <v>131</v>
      </c>
    </row>
    <row r="2" spans="1:10">
      <c r="A2" s="4" t="s">
        <v>53</v>
      </c>
      <c r="C2" s="1" t="str">
        <f>CONCATENATE(I5,I6,I7,I8,I9,I10,I11,I12)</f>
        <v>/1081467</v>
      </c>
    </row>
    <row r="3" spans="1:10">
      <c r="A3" s="17"/>
      <c r="B3" s="18" t="s">
        <v>20</v>
      </c>
      <c r="C3" s="17" t="s">
        <v>133</v>
      </c>
      <c r="D3" s="17" t="s">
        <v>143</v>
      </c>
      <c r="E3" s="17" t="s">
        <v>144</v>
      </c>
      <c r="F3" s="17" t="s">
        <v>19</v>
      </c>
      <c r="G3" s="17" t="s">
        <v>18</v>
      </c>
      <c r="H3" s="17" t="s">
        <v>17</v>
      </c>
      <c r="I3" s="17"/>
      <c r="J3" s="17" t="s">
        <v>16</v>
      </c>
    </row>
    <row r="4" spans="1:10">
      <c r="A4" s="14"/>
      <c r="B4" s="15" t="s">
        <v>145</v>
      </c>
      <c r="C4" s="14">
        <f>SUM(C5:C12)</f>
        <v>8</v>
      </c>
      <c r="D4" s="14"/>
      <c r="E4" s="14"/>
      <c r="F4" s="14"/>
      <c r="G4" s="14"/>
      <c r="H4" s="14"/>
      <c r="I4" s="14"/>
      <c r="J4" s="15"/>
    </row>
    <row r="5" spans="1:10">
      <c r="A5" s="12">
        <v>0</v>
      </c>
      <c r="B5" s="10" t="s">
        <v>15</v>
      </c>
      <c r="C5" s="12">
        <v>1</v>
      </c>
      <c r="D5" s="12">
        <v>0</v>
      </c>
      <c r="E5" s="12">
        <f t="shared" ref="E5:E12" si="0">IF(C5&gt;0,D5+C5-1,"")</f>
        <v>0</v>
      </c>
      <c r="F5" s="12">
        <v>0</v>
      </c>
      <c r="G5" s="12" t="s">
        <v>69</v>
      </c>
      <c r="H5" s="12" t="s">
        <v>2</v>
      </c>
      <c r="I5" s="11" t="s">
        <v>14</v>
      </c>
      <c r="J5" s="10" t="s">
        <v>13</v>
      </c>
    </row>
    <row r="6" spans="1:10">
      <c r="A6" s="7">
        <v>1</v>
      </c>
      <c r="B6" s="10" t="s">
        <v>136</v>
      </c>
      <c r="C6" s="12">
        <v>1</v>
      </c>
      <c r="D6" s="12">
        <f>IF(C7&gt;0,E5+1,"")</f>
        <v>1</v>
      </c>
      <c r="E6" s="7">
        <f t="shared" si="0"/>
        <v>1</v>
      </c>
      <c r="F6" s="12">
        <v>0</v>
      </c>
      <c r="G6" s="12" t="s">
        <v>69</v>
      </c>
      <c r="H6" s="12" t="s">
        <v>2</v>
      </c>
      <c r="I6" s="11">
        <v>1</v>
      </c>
      <c r="J6" s="48" t="s">
        <v>138</v>
      </c>
    </row>
    <row r="7" spans="1:10">
      <c r="A7" s="7">
        <v>2</v>
      </c>
      <c r="B7" s="8" t="s">
        <v>12</v>
      </c>
      <c r="C7" s="7">
        <v>1</v>
      </c>
      <c r="D7" s="7">
        <f t="shared" ref="D7:D12" si="1">IF(C7&gt;0,E6+1,"")</f>
        <v>2</v>
      </c>
      <c r="E7" s="7">
        <f t="shared" si="0"/>
        <v>2</v>
      </c>
      <c r="F7" s="7">
        <v>0</v>
      </c>
      <c r="G7" s="7" t="s">
        <v>69</v>
      </c>
      <c r="H7" s="7" t="s">
        <v>2</v>
      </c>
      <c r="I7" s="9" t="str">
        <f>DEC2HEX(INT(C4/16),1)</f>
        <v>0</v>
      </c>
      <c r="J7" s="75" t="s">
        <v>140</v>
      </c>
    </row>
    <row r="8" spans="1:10">
      <c r="A8" s="7">
        <v>3</v>
      </c>
      <c r="B8" s="8" t="s">
        <v>10</v>
      </c>
      <c r="C8" s="7">
        <v>1</v>
      </c>
      <c r="D8" s="7">
        <f t="shared" si="1"/>
        <v>3</v>
      </c>
      <c r="E8" s="7">
        <f t="shared" si="0"/>
        <v>3</v>
      </c>
      <c r="F8" s="7">
        <v>8</v>
      </c>
      <c r="G8" s="7" t="s">
        <v>69</v>
      </c>
      <c r="H8" s="7" t="s">
        <v>2</v>
      </c>
      <c r="I8" s="9" t="str">
        <f>DEC2HEX(MOD(C4,16),1)</f>
        <v>8</v>
      </c>
      <c r="J8" s="76"/>
    </row>
    <row r="9" spans="1:10">
      <c r="A9" s="7">
        <v>4</v>
      </c>
      <c r="B9" s="8" t="s">
        <v>9</v>
      </c>
      <c r="C9" s="7">
        <v>1</v>
      </c>
      <c r="D9" s="7">
        <f t="shared" si="1"/>
        <v>4</v>
      </c>
      <c r="E9" s="7">
        <f t="shared" si="0"/>
        <v>4</v>
      </c>
      <c r="F9" s="7">
        <v>0</v>
      </c>
      <c r="G9" s="7" t="s">
        <v>69</v>
      </c>
      <c r="H9" s="7" t="s">
        <v>2</v>
      </c>
      <c r="I9" s="7">
        <v>1</v>
      </c>
      <c r="J9" s="73" t="s">
        <v>234</v>
      </c>
    </row>
    <row r="10" spans="1:10">
      <c r="A10" s="7">
        <v>5</v>
      </c>
      <c r="B10" s="8" t="s">
        <v>8</v>
      </c>
      <c r="C10" s="7">
        <v>1</v>
      </c>
      <c r="D10" s="7">
        <f t="shared" si="1"/>
        <v>5</v>
      </c>
      <c r="E10" s="7">
        <f t="shared" si="0"/>
        <v>5</v>
      </c>
      <c r="F10" s="7">
        <v>0</v>
      </c>
      <c r="G10" s="7" t="s">
        <v>69</v>
      </c>
      <c r="H10" s="7" t="s">
        <v>2</v>
      </c>
      <c r="I10" s="32">
        <v>4</v>
      </c>
      <c r="J10" s="74"/>
    </row>
    <row r="11" spans="1:10">
      <c r="A11" s="7">
        <v>6</v>
      </c>
      <c r="B11" s="8" t="s">
        <v>7</v>
      </c>
      <c r="C11" s="7">
        <v>1</v>
      </c>
      <c r="D11" s="7">
        <f t="shared" si="1"/>
        <v>6</v>
      </c>
      <c r="E11" s="7">
        <f t="shared" si="0"/>
        <v>6</v>
      </c>
      <c r="F11" s="7">
        <v>0</v>
      </c>
      <c r="G11" s="7" t="s">
        <v>69</v>
      </c>
      <c r="H11" s="7" t="s">
        <v>2</v>
      </c>
      <c r="I11" s="7">
        <v>6</v>
      </c>
      <c r="J11" s="75" t="s">
        <v>6</v>
      </c>
    </row>
    <row r="12" spans="1:10">
      <c r="A12" s="49">
        <v>7</v>
      </c>
      <c r="B12" s="50" t="s">
        <v>5</v>
      </c>
      <c r="C12" s="5">
        <v>1</v>
      </c>
      <c r="D12" s="5">
        <f t="shared" si="1"/>
        <v>7</v>
      </c>
      <c r="E12" s="5">
        <f t="shared" si="0"/>
        <v>7</v>
      </c>
      <c r="F12" s="5">
        <v>0</v>
      </c>
      <c r="G12" s="5" t="s">
        <v>69</v>
      </c>
      <c r="H12" s="5" t="s">
        <v>2</v>
      </c>
      <c r="I12" s="5">
        <v>7</v>
      </c>
      <c r="J12" s="93"/>
    </row>
    <row r="13" spans="1:10">
      <c r="C13" s="3"/>
      <c r="F13" s="3"/>
      <c r="G13" s="3"/>
      <c r="H13" s="3"/>
      <c r="I13" s="3"/>
    </row>
    <row r="15" spans="1:10">
      <c r="A15" s="4" t="s">
        <v>52</v>
      </c>
      <c r="D15" s="1"/>
      <c r="E15" s="1"/>
      <c r="J15" s="2"/>
    </row>
    <row r="16" spans="1:10">
      <c r="A16" s="4" t="s">
        <v>50</v>
      </c>
      <c r="C16" s="1" t="str">
        <f>CONCATENATE(I19,I20,I21,I22,I23,I24,I25,I26,I27,I28)</f>
        <v>/10A14B601</v>
      </c>
      <c r="D16" s="1"/>
      <c r="E16" s="1"/>
      <c r="J16" s="2"/>
    </row>
    <row r="17" spans="1:10">
      <c r="A17" s="17"/>
      <c r="B17" s="18" t="s">
        <v>20</v>
      </c>
      <c r="C17" s="17" t="s">
        <v>133</v>
      </c>
      <c r="D17" s="17" t="s">
        <v>143</v>
      </c>
      <c r="E17" s="17" t="s">
        <v>144</v>
      </c>
      <c r="F17" s="17" t="s">
        <v>19</v>
      </c>
      <c r="G17" s="17" t="s">
        <v>18</v>
      </c>
      <c r="H17" s="17" t="s">
        <v>17</v>
      </c>
      <c r="I17" s="17"/>
      <c r="J17" s="16" t="s">
        <v>16</v>
      </c>
    </row>
    <row r="18" spans="1:10">
      <c r="A18" s="14"/>
      <c r="B18" s="15" t="s">
        <v>145</v>
      </c>
      <c r="C18" s="14">
        <f>SUM(C19:C28)</f>
        <v>10</v>
      </c>
      <c r="D18" s="14"/>
      <c r="E18" s="14"/>
      <c r="F18" s="14"/>
      <c r="G18" s="14"/>
      <c r="H18" s="14"/>
      <c r="I18" s="14"/>
      <c r="J18" s="13"/>
    </row>
    <row r="19" spans="1:10">
      <c r="A19" s="12">
        <v>0</v>
      </c>
      <c r="B19" s="10" t="s">
        <v>15</v>
      </c>
      <c r="C19" s="12">
        <v>1</v>
      </c>
      <c r="D19" s="12">
        <v>0</v>
      </c>
      <c r="E19" s="12">
        <f t="shared" ref="E19:E28" si="2">IF(C19&gt;0,D19+C19-1,"")</f>
        <v>0</v>
      </c>
      <c r="F19" s="11" t="s">
        <v>14</v>
      </c>
      <c r="G19" s="11" t="s">
        <v>14</v>
      </c>
      <c r="H19" s="12" t="s">
        <v>2</v>
      </c>
      <c r="I19" s="11" t="s">
        <v>14</v>
      </c>
      <c r="J19" s="21"/>
    </row>
    <row r="20" spans="1:10">
      <c r="A20" s="7">
        <v>1</v>
      </c>
      <c r="B20" s="10" t="s">
        <v>136</v>
      </c>
      <c r="C20" s="12">
        <v>1</v>
      </c>
      <c r="D20" s="12">
        <f>IF(C21&gt;0,E19+1,"")</f>
        <v>1</v>
      </c>
      <c r="E20" s="7">
        <f t="shared" si="2"/>
        <v>1</v>
      </c>
      <c r="F20" s="12">
        <v>0</v>
      </c>
      <c r="G20" s="12" t="s">
        <v>69</v>
      </c>
      <c r="H20" s="12" t="s">
        <v>2</v>
      </c>
      <c r="I20" s="11">
        <v>1</v>
      </c>
      <c r="J20" s="48" t="s">
        <v>138</v>
      </c>
    </row>
    <row r="21" spans="1:10">
      <c r="A21" s="7">
        <v>2</v>
      </c>
      <c r="B21" s="8" t="s">
        <v>12</v>
      </c>
      <c r="C21" s="7">
        <v>1</v>
      </c>
      <c r="D21" s="7">
        <f t="shared" ref="D21:D26" si="3">IF(C21&gt;0,E20+1,"")</f>
        <v>2</v>
      </c>
      <c r="E21" s="7">
        <f t="shared" si="2"/>
        <v>2</v>
      </c>
      <c r="F21" s="7">
        <v>0</v>
      </c>
      <c r="G21" s="7"/>
      <c r="H21" s="7" t="s">
        <v>2</v>
      </c>
      <c r="I21" s="9" t="str">
        <f>DEC2HEX(INT(C18/16),1)</f>
        <v>0</v>
      </c>
      <c r="J21" s="75" t="s">
        <v>140</v>
      </c>
    </row>
    <row r="22" spans="1:10">
      <c r="A22" s="7">
        <v>3</v>
      </c>
      <c r="B22" s="8" t="s">
        <v>10</v>
      </c>
      <c r="C22" s="7">
        <v>1</v>
      </c>
      <c r="D22" s="7">
        <f t="shared" si="3"/>
        <v>3</v>
      </c>
      <c r="E22" s="7">
        <f t="shared" si="2"/>
        <v>3</v>
      </c>
      <c r="F22" s="7">
        <v>8</v>
      </c>
      <c r="G22" s="7"/>
      <c r="H22" s="7" t="s">
        <v>2</v>
      </c>
      <c r="I22" s="9" t="str">
        <f>DEC2HEX(MOD(C18,16),1)</f>
        <v>A</v>
      </c>
      <c r="J22" s="76"/>
    </row>
    <row r="23" spans="1:10">
      <c r="A23" s="7">
        <v>4</v>
      </c>
      <c r="B23" s="8" t="s">
        <v>9</v>
      </c>
      <c r="C23" s="7">
        <v>1</v>
      </c>
      <c r="D23" s="7">
        <f t="shared" si="3"/>
        <v>4</v>
      </c>
      <c r="E23" s="7">
        <f t="shared" si="2"/>
        <v>4</v>
      </c>
      <c r="F23" s="7">
        <v>0</v>
      </c>
      <c r="G23" s="7"/>
      <c r="H23" s="7" t="s">
        <v>2</v>
      </c>
      <c r="I23" s="7">
        <v>1</v>
      </c>
      <c r="J23" s="73" t="s">
        <v>142</v>
      </c>
    </row>
    <row r="24" spans="1:10">
      <c r="A24" s="7">
        <v>5</v>
      </c>
      <c r="B24" s="8" t="s">
        <v>8</v>
      </c>
      <c r="C24" s="7">
        <v>1</v>
      </c>
      <c r="D24" s="7">
        <f t="shared" si="3"/>
        <v>5</v>
      </c>
      <c r="E24" s="7">
        <f t="shared" si="2"/>
        <v>5</v>
      </c>
      <c r="F24" s="7">
        <v>0</v>
      </c>
      <c r="G24" s="7"/>
      <c r="H24" s="7" t="s">
        <v>2</v>
      </c>
      <c r="I24" s="32">
        <v>4</v>
      </c>
      <c r="J24" s="74"/>
    </row>
    <row r="25" spans="1:10">
      <c r="A25" s="7">
        <v>6</v>
      </c>
      <c r="B25" s="8" t="s">
        <v>7</v>
      </c>
      <c r="C25" s="7">
        <v>1</v>
      </c>
      <c r="D25" s="7">
        <f t="shared" si="3"/>
        <v>6</v>
      </c>
      <c r="E25" s="7">
        <f t="shared" si="2"/>
        <v>6</v>
      </c>
      <c r="F25" s="7">
        <v>0</v>
      </c>
      <c r="G25" s="7"/>
      <c r="H25" s="7" t="s">
        <v>2</v>
      </c>
      <c r="I25" s="7" t="s">
        <v>146</v>
      </c>
      <c r="J25" s="75" t="s">
        <v>6</v>
      </c>
    </row>
    <row r="26" spans="1:10" ht="14.25" customHeight="1">
      <c r="A26" s="7">
        <v>7</v>
      </c>
      <c r="B26" s="8" t="s">
        <v>5</v>
      </c>
      <c r="C26" s="7">
        <v>1</v>
      </c>
      <c r="D26" s="7">
        <f t="shared" si="3"/>
        <v>7</v>
      </c>
      <c r="E26" s="7">
        <f t="shared" si="2"/>
        <v>7</v>
      </c>
      <c r="F26" s="7">
        <v>0</v>
      </c>
      <c r="G26" s="7"/>
      <c r="H26" s="7" t="s">
        <v>2</v>
      </c>
      <c r="I26" s="7">
        <v>6</v>
      </c>
      <c r="J26" s="76"/>
    </row>
    <row r="27" spans="1:10">
      <c r="A27" s="7">
        <v>8</v>
      </c>
      <c r="B27" s="8" t="s">
        <v>4</v>
      </c>
      <c r="C27" s="7">
        <v>1</v>
      </c>
      <c r="D27" s="7">
        <f>IF(C27&gt;0,D26+1,"")</f>
        <v>8</v>
      </c>
      <c r="E27" s="7">
        <f t="shared" si="2"/>
        <v>8</v>
      </c>
      <c r="F27" s="7">
        <v>1</v>
      </c>
      <c r="G27" s="7"/>
      <c r="H27" s="7" t="s">
        <v>2</v>
      </c>
      <c r="I27" s="7">
        <v>0</v>
      </c>
      <c r="J27" s="73" t="s">
        <v>258</v>
      </c>
    </row>
    <row r="28" spans="1:10" customFormat="1">
      <c r="A28" s="51">
        <v>9</v>
      </c>
      <c r="B28" s="8" t="s">
        <v>3</v>
      </c>
      <c r="C28" s="7">
        <v>1</v>
      </c>
      <c r="D28" s="7">
        <f>IF(C28&gt;0,D27+1,"")</f>
        <v>9</v>
      </c>
      <c r="E28" s="7">
        <f t="shared" si="2"/>
        <v>9</v>
      </c>
      <c r="F28" s="7">
        <v>1</v>
      </c>
      <c r="G28" s="7"/>
      <c r="H28" s="7" t="s">
        <v>2</v>
      </c>
      <c r="I28" s="7">
        <v>1</v>
      </c>
      <c r="J28" s="74"/>
    </row>
    <row r="29" spans="1:10">
      <c r="A29" s="36" t="s">
        <v>139</v>
      </c>
      <c r="B29" s="24" t="s">
        <v>1</v>
      </c>
      <c r="C29" s="23">
        <v>0</v>
      </c>
      <c r="D29" s="23"/>
      <c r="E29" s="23"/>
      <c r="F29" s="23"/>
      <c r="G29" s="23"/>
      <c r="H29" s="23" t="s">
        <v>0</v>
      </c>
      <c r="I29" s="23"/>
      <c r="J29" s="22"/>
    </row>
    <row r="30" spans="1:10">
      <c r="A30"/>
      <c r="B30"/>
      <c r="C30"/>
      <c r="D30"/>
      <c r="E30"/>
      <c r="F30"/>
      <c r="G30"/>
      <c r="H30"/>
      <c r="I30"/>
      <c r="J30"/>
    </row>
    <row r="31" spans="1:10">
      <c r="A31" s="4" t="s">
        <v>174</v>
      </c>
      <c r="D31" s="1"/>
      <c r="E31" s="1"/>
      <c r="J31" s="2"/>
    </row>
    <row r="32" spans="1:10">
      <c r="A32" s="4" t="s">
        <v>50</v>
      </c>
      <c r="C32" s="1" t="str">
        <f>CONCATENATE(I35,I36,I37,I38,I39,I40,I41,I42,I43,I44,I45,I46,I47,I48,I49,I50,I51,I52,I53,I54,I55,I56)</f>
        <v>/11631E401123456789ABC</v>
      </c>
      <c r="D32" s="1"/>
      <c r="E32" s="1"/>
      <c r="J32" s="2"/>
    </row>
    <row r="33" spans="1:10">
      <c r="A33" s="17"/>
      <c r="B33" s="18" t="s">
        <v>20</v>
      </c>
      <c r="C33" s="17" t="s">
        <v>133</v>
      </c>
      <c r="D33" s="17" t="s">
        <v>143</v>
      </c>
      <c r="E33" s="17" t="s">
        <v>144</v>
      </c>
      <c r="F33" s="17" t="s">
        <v>19</v>
      </c>
      <c r="G33" s="17" t="s">
        <v>18</v>
      </c>
      <c r="H33" s="17" t="s">
        <v>17</v>
      </c>
      <c r="I33" s="17"/>
      <c r="J33" s="16" t="s">
        <v>16</v>
      </c>
    </row>
    <row r="34" spans="1:10">
      <c r="A34" s="14"/>
      <c r="B34" s="15" t="s">
        <v>145</v>
      </c>
      <c r="C34" s="14">
        <f>SUM(C35:C56)</f>
        <v>22</v>
      </c>
      <c r="D34" s="14"/>
      <c r="E34" s="14"/>
      <c r="F34" s="14"/>
      <c r="G34" s="14"/>
      <c r="H34" s="14"/>
      <c r="I34" s="14"/>
      <c r="J34" s="13"/>
    </row>
    <row r="35" spans="1:10">
      <c r="A35" s="12">
        <v>0</v>
      </c>
      <c r="B35" s="10" t="s">
        <v>15</v>
      </c>
      <c r="C35" s="12">
        <v>1</v>
      </c>
      <c r="D35" s="12">
        <v>0</v>
      </c>
      <c r="E35" s="12">
        <f t="shared" ref="E35:E56" si="4">IF(C35&gt;0,D35+C35-1,"")</f>
        <v>0</v>
      </c>
      <c r="F35" s="11" t="s">
        <v>14</v>
      </c>
      <c r="G35" s="11" t="s">
        <v>14</v>
      </c>
      <c r="H35" s="12" t="s">
        <v>2</v>
      </c>
      <c r="I35" s="11" t="s">
        <v>14</v>
      </c>
      <c r="J35" s="21"/>
    </row>
    <row r="36" spans="1:10" ht="15" customHeight="1">
      <c r="A36" s="7">
        <v>1</v>
      </c>
      <c r="B36" s="10" t="s">
        <v>136</v>
      </c>
      <c r="C36" s="12">
        <v>1</v>
      </c>
      <c r="D36" s="12">
        <f>IF(C37&gt;0,E35+1,"")</f>
        <v>1</v>
      </c>
      <c r="E36" s="7">
        <f t="shared" si="4"/>
        <v>1</v>
      </c>
      <c r="F36" s="12">
        <v>0</v>
      </c>
      <c r="G36" s="12" t="s">
        <v>69</v>
      </c>
      <c r="H36" s="12" t="s">
        <v>2</v>
      </c>
      <c r="I36" s="11">
        <v>1</v>
      </c>
      <c r="J36" s="48" t="s">
        <v>138</v>
      </c>
    </row>
    <row r="37" spans="1:10">
      <c r="A37" s="7">
        <v>2</v>
      </c>
      <c r="B37" s="8" t="s">
        <v>12</v>
      </c>
      <c r="C37" s="7">
        <v>1</v>
      </c>
      <c r="D37" s="7">
        <f t="shared" ref="D37:D42" si="5">IF(C37&gt;0,E36+1,"")</f>
        <v>2</v>
      </c>
      <c r="E37" s="7">
        <f t="shared" si="4"/>
        <v>2</v>
      </c>
      <c r="F37" s="7">
        <v>0</v>
      </c>
      <c r="G37" s="7"/>
      <c r="H37" s="7" t="s">
        <v>2</v>
      </c>
      <c r="I37" s="9">
        <f>INT(C34/16)</f>
        <v>1</v>
      </c>
      <c r="J37" s="75" t="s">
        <v>140</v>
      </c>
    </row>
    <row r="38" spans="1:10">
      <c r="A38" s="7">
        <v>3</v>
      </c>
      <c r="B38" s="8" t="s">
        <v>10</v>
      </c>
      <c r="C38" s="7">
        <v>1</v>
      </c>
      <c r="D38" s="7">
        <f t="shared" si="5"/>
        <v>3</v>
      </c>
      <c r="E38" s="7">
        <f t="shared" si="4"/>
        <v>3</v>
      </c>
      <c r="F38" s="7">
        <v>8</v>
      </c>
      <c r="G38" s="7"/>
      <c r="H38" s="7" t="s">
        <v>2</v>
      </c>
      <c r="I38" s="9">
        <f>MOD(C34,16)</f>
        <v>6</v>
      </c>
      <c r="J38" s="76"/>
    </row>
    <row r="39" spans="1:10">
      <c r="A39" s="7">
        <v>4</v>
      </c>
      <c r="B39" s="8" t="s">
        <v>9</v>
      </c>
      <c r="C39" s="7">
        <v>1</v>
      </c>
      <c r="D39" s="7">
        <f t="shared" si="5"/>
        <v>4</v>
      </c>
      <c r="E39" s="7">
        <f t="shared" si="4"/>
        <v>4</v>
      </c>
      <c r="F39" s="7">
        <v>0</v>
      </c>
      <c r="G39" s="7"/>
      <c r="H39" s="7" t="s">
        <v>2</v>
      </c>
      <c r="I39" s="7">
        <v>3</v>
      </c>
      <c r="J39" s="73"/>
    </row>
    <row r="40" spans="1:10">
      <c r="A40" s="7">
        <v>5</v>
      </c>
      <c r="B40" s="8" t="s">
        <v>8</v>
      </c>
      <c r="C40" s="7">
        <v>1</v>
      </c>
      <c r="D40" s="7">
        <f t="shared" si="5"/>
        <v>5</v>
      </c>
      <c r="E40" s="7">
        <f t="shared" si="4"/>
        <v>5</v>
      </c>
      <c r="F40" s="7">
        <v>0</v>
      </c>
      <c r="G40" s="7"/>
      <c r="H40" s="7" t="s">
        <v>2</v>
      </c>
      <c r="I40" s="7">
        <v>1</v>
      </c>
      <c r="J40" s="74"/>
    </row>
    <row r="41" spans="1:10" ht="14.25" customHeight="1">
      <c r="A41" s="7">
        <v>6</v>
      </c>
      <c r="B41" s="8" t="s">
        <v>7</v>
      </c>
      <c r="C41" s="7">
        <v>1</v>
      </c>
      <c r="D41" s="7">
        <f t="shared" si="5"/>
        <v>6</v>
      </c>
      <c r="E41" s="7">
        <f t="shared" si="4"/>
        <v>6</v>
      </c>
      <c r="F41" s="7">
        <v>0</v>
      </c>
      <c r="G41" s="7"/>
      <c r="H41" s="7" t="s">
        <v>2</v>
      </c>
      <c r="I41" s="7" t="s">
        <v>49</v>
      </c>
      <c r="J41" s="75" t="s">
        <v>6</v>
      </c>
    </row>
    <row r="42" spans="1:10">
      <c r="A42" s="7">
        <v>7</v>
      </c>
      <c r="B42" s="8" t="s">
        <v>5</v>
      </c>
      <c r="C42" s="7">
        <v>1</v>
      </c>
      <c r="D42" s="7">
        <f t="shared" si="5"/>
        <v>7</v>
      </c>
      <c r="E42" s="7">
        <f t="shared" si="4"/>
        <v>7</v>
      </c>
      <c r="F42" s="7">
        <v>0</v>
      </c>
      <c r="G42" s="7"/>
      <c r="H42" s="7" t="s">
        <v>2</v>
      </c>
      <c r="I42" s="7">
        <v>4</v>
      </c>
      <c r="J42" s="76"/>
    </row>
    <row r="43" spans="1:10">
      <c r="A43" s="7">
        <v>8</v>
      </c>
      <c r="B43" s="8" t="s">
        <v>4</v>
      </c>
      <c r="C43" s="7">
        <v>1</v>
      </c>
      <c r="D43" s="7">
        <f>IF(C43&gt;0,D42+1,"")</f>
        <v>8</v>
      </c>
      <c r="E43" s="7">
        <f t="shared" si="4"/>
        <v>8</v>
      </c>
      <c r="F43" s="7">
        <v>1</v>
      </c>
      <c r="G43" s="7"/>
      <c r="H43" s="7" t="s">
        <v>2</v>
      </c>
      <c r="I43" s="7">
        <v>0</v>
      </c>
      <c r="J43" s="73" t="s">
        <v>258</v>
      </c>
    </row>
    <row r="44" spans="1:10">
      <c r="A44" s="7">
        <v>9</v>
      </c>
      <c r="B44" s="8" t="s">
        <v>3</v>
      </c>
      <c r="C44" s="7">
        <v>1</v>
      </c>
      <c r="D44" s="7">
        <f>IF(C44&gt;0,D43+1,"")</f>
        <v>9</v>
      </c>
      <c r="E44" s="7">
        <f t="shared" si="4"/>
        <v>9</v>
      </c>
      <c r="F44" s="7">
        <v>1</v>
      </c>
      <c r="G44" s="7"/>
      <c r="H44" s="7" t="s">
        <v>2</v>
      </c>
      <c r="I44" s="7">
        <v>1</v>
      </c>
      <c r="J44" s="74"/>
    </row>
    <row r="45" spans="1:10" ht="14.25" customHeight="1">
      <c r="A45" s="7">
        <v>10</v>
      </c>
      <c r="B45" s="8" t="s">
        <v>168</v>
      </c>
      <c r="C45" s="7">
        <v>1</v>
      </c>
      <c r="D45" s="7">
        <f>IF(C45&gt;0,D35+1,"")</f>
        <v>1</v>
      </c>
      <c r="E45" s="7">
        <f t="shared" si="4"/>
        <v>1</v>
      </c>
      <c r="F45" s="7">
        <v>1</v>
      </c>
      <c r="G45" s="7"/>
      <c r="H45" s="7" t="s">
        <v>2</v>
      </c>
      <c r="I45" s="7">
        <v>1</v>
      </c>
      <c r="J45" s="78" t="s">
        <v>180</v>
      </c>
    </row>
    <row r="46" spans="1:10">
      <c r="A46" s="7">
        <v>11</v>
      </c>
      <c r="B46" s="8" t="s">
        <v>162</v>
      </c>
      <c r="C46" s="7">
        <v>1</v>
      </c>
      <c r="D46" s="7">
        <f>IF(C46&gt;0,D45+1,"")</f>
        <v>2</v>
      </c>
      <c r="E46" s="7">
        <f t="shared" si="4"/>
        <v>2</v>
      </c>
      <c r="F46" s="7">
        <v>1</v>
      </c>
      <c r="G46" s="7"/>
      <c r="H46" s="7" t="s">
        <v>2</v>
      </c>
      <c r="I46" s="7">
        <v>2</v>
      </c>
      <c r="J46" s="91"/>
    </row>
    <row r="47" spans="1:10" ht="14.25" customHeight="1">
      <c r="A47" s="7">
        <v>12</v>
      </c>
      <c r="B47" s="8" t="s">
        <v>163</v>
      </c>
      <c r="C47" s="7">
        <v>1</v>
      </c>
      <c r="D47" s="7">
        <f>IF(C47&gt;0,D37+1,"")</f>
        <v>3</v>
      </c>
      <c r="E47" s="7">
        <f t="shared" si="4"/>
        <v>3</v>
      </c>
      <c r="F47" s="7">
        <v>1</v>
      </c>
      <c r="G47" s="7"/>
      <c r="H47" s="7" t="s">
        <v>2</v>
      </c>
      <c r="I47" s="7">
        <v>3</v>
      </c>
      <c r="J47" s="91"/>
    </row>
    <row r="48" spans="1:10">
      <c r="A48" s="7">
        <v>13</v>
      </c>
      <c r="B48" s="8" t="s">
        <v>169</v>
      </c>
      <c r="C48" s="7">
        <v>1</v>
      </c>
      <c r="D48" s="7">
        <f>IF(C48&gt;0,D47+1,"")</f>
        <v>4</v>
      </c>
      <c r="E48" s="7">
        <f t="shared" si="4"/>
        <v>4</v>
      </c>
      <c r="F48" s="7">
        <v>1</v>
      </c>
      <c r="G48" s="7"/>
      <c r="H48" s="7" t="s">
        <v>2</v>
      </c>
      <c r="I48" s="7">
        <v>4</v>
      </c>
      <c r="J48" s="94"/>
    </row>
    <row r="49" spans="1:12" ht="14.25" customHeight="1">
      <c r="A49" s="7">
        <v>14</v>
      </c>
      <c r="B49" s="8" t="s">
        <v>170</v>
      </c>
      <c r="C49" s="7">
        <v>1</v>
      </c>
      <c r="D49" s="7">
        <f>IF(C49&gt;0,D38+1,"")</f>
        <v>4</v>
      </c>
      <c r="E49" s="7">
        <f t="shared" si="4"/>
        <v>4</v>
      </c>
      <c r="F49" s="7">
        <v>1</v>
      </c>
      <c r="G49" s="7"/>
      <c r="H49" s="7" t="s">
        <v>2</v>
      </c>
      <c r="I49" s="7">
        <v>5</v>
      </c>
      <c r="J49" s="78" t="s">
        <v>181</v>
      </c>
    </row>
    <row r="50" spans="1:12">
      <c r="A50" s="7">
        <v>15</v>
      </c>
      <c r="B50" s="8" t="s">
        <v>164</v>
      </c>
      <c r="C50" s="7">
        <v>1</v>
      </c>
      <c r="D50" s="7">
        <f>IF(C50&gt;0,D49+1,"")</f>
        <v>5</v>
      </c>
      <c r="E50" s="7">
        <f t="shared" si="4"/>
        <v>5</v>
      </c>
      <c r="F50" s="7">
        <v>1</v>
      </c>
      <c r="G50" s="7"/>
      <c r="H50" s="7" t="s">
        <v>2</v>
      </c>
      <c r="I50" s="7">
        <v>6</v>
      </c>
      <c r="J50" s="91"/>
    </row>
    <row r="51" spans="1:12" ht="14.25" customHeight="1">
      <c r="A51" s="7">
        <v>16</v>
      </c>
      <c r="B51" s="8" t="s">
        <v>165</v>
      </c>
      <c r="C51" s="7">
        <v>1</v>
      </c>
      <c r="D51" s="7">
        <f>IF(C51&gt;0,D40+1,"")</f>
        <v>6</v>
      </c>
      <c r="E51" s="7">
        <f t="shared" si="4"/>
        <v>6</v>
      </c>
      <c r="F51" s="7">
        <v>1</v>
      </c>
      <c r="G51" s="7"/>
      <c r="H51" s="7" t="s">
        <v>2</v>
      </c>
      <c r="I51" s="7">
        <v>7</v>
      </c>
      <c r="J51" s="91"/>
    </row>
    <row r="52" spans="1:12">
      <c r="A52" s="7">
        <v>17</v>
      </c>
      <c r="B52" s="8" t="s">
        <v>171</v>
      </c>
      <c r="C52" s="7">
        <v>1</v>
      </c>
      <c r="D52" s="7">
        <f>IF(C52&gt;0,D51+1,"")</f>
        <v>7</v>
      </c>
      <c r="E52" s="7">
        <f t="shared" si="4"/>
        <v>7</v>
      </c>
      <c r="F52" s="7">
        <v>1</v>
      </c>
      <c r="G52" s="7"/>
      <c r="H52" s="7" t="s">
        <v>2</v>
      </c>
      <c r="I52" s="7">
        <v>8</v>
      </c>
      <c r="J52" s="94"/>
    </row>
    <row r="53" spans="1:12" ht="14.25" customHeight="1">
      <c r="A53" s="7">
        <v>18</v>
      </c>
      <c r="B53" s="8" t="s">
        <v>172</v>
      </c>
      <c r="C53" s="7">
        <v>1</v>
      </c>
      <c r="D53" s="7">
        <f>IF(C53&gt;0,D40+1,"")</f>
        <v>6</v>
      </c>
      <c r="E53" s="7">
        <f t="shared" si="4"/>
        <v>6</v>
      </c>
      <c r="F53" s="7">
        <v>1</v>
      </c>
      <c r="G53" s="7"/>
      <c r="H53" s="7" t="s">
        <v>2</v>
      </c>
      <c r="I53" s="7">
        <v>9</v>
      </c>
      <c r="J53" s="78" t="s">
        <v>182</v>
      </c>
    </row>
    <row r="54" spans="1:12">
      <c r="A54" s="7">
        <v>19</v>
      </c>
      <c r="B54" s="8" t="s">
        <v>166</v>
      </c>
      <c r="C54" s="7">
        <v>1</v>
      </c>
      <c r="D54" s="7">
        <f>IF(C54&gt;0,D53+1,"")</f>
        <v>7</v>
      </c>
      <c r="E54" s="7">
        <f t="shared" si="4"/>
        <v>7</v>
      </c>
      <c r="F54" s="7">
        <v>1</v>
      </c>
      <c r="G54" s="7"/>
      <c r="H54" s="7" t="s">
        <v>2</v>
      </c>
      <c r="I54" s="7" t="s">
        <v>48</v>
      </c>
      <c r="J54" s="91"/>
    </row>
    <row r="55" spans="1:12" ht="14.25" customHeight="1">
      <c r="A55" s="7">
        <v>20</v>
      </c>
      <c r="B55" s="8" t="s">
        <v>167</v>
      </c>
      <c r="C55" s="7">
        <v>1</v>
      </c>
      <c r="D55" s="7">
        <f>IF(C55&gt;0,D42+1,"")</f>
        <v>8</v>
      </c>
      <c r="E55" s="7">
        <f t="shared" si="4"/>
        <v>8</v>
      </c>
      <c r="F55" s="7">
        <v>1</v>
      </c>
      <c r="G55" s="7"/>
      <c r="H55" s="7" t="s">
        <v>2</v>
      </c>
      <c r="I55" s="7" t="s">
        <v>146</v>
      </c>
      <c r="J55" s="91"/>
    </row>
    <row r="56" spans="1:12">
      <c r="A56" s="5">
        <v>21</v>
      </c>
      <c r="B56" s="6" t="s">
        <v>173</v>
      </c>
      <c r="C56" s="5">
        <v>1</v>
      </c>
      <c r="D56" s="5">
        <f>IF(C56&gt;0,D55+1,"")</f>
        <v>9</v>
      </c>
      <c r="E56" s="5">
        <f t="shared" si="4"/>
        <v>9</v>
      </c>
      <c r="F56" s="5">
        <v>1</v>
      </c>
      <c r="G56" s="5"/>
      <c r="H56" s="5" t="s">
        <v>2</v>
      </c>
      <c r="I56" s="5" t="s">
        <v>175</v>
      </c>
      <c r="J56" s="92"/>
    </row>
    <row r="58" spans="1:12">
      <c r="A58" s="4" t="s">
        <v>47</v>
      </c>
      <c r="B58" s="4" t="s">
        <v>46</v>
      </c>
      <c r="C58" s="4" t="s">
        <v>45</v>
      </c>
      <c r="D58" s="4"/>
      <c r="I58" s="1" t="s">
        <v>44</v>
      </c>
    </row>
    <row r="59" spans="1:12">
      <c r="A59" s="3" t="s">
        <v>43</v>
      </c>
      <c r="B59" s="1" t="s">
        <v>161</v>
      </c>
      <c r="C59" s="20" t="s">
        <v>159</v>
      </c>
      <c r="I59" s="20" t="s">
        <v>176</v>
      </c>
    </row>
    <row r="60" spans="1:12">
      <c r="C60" s="20"/>
      <c r="I60" s="20" t="s">
        <v>160</v>
      </c>
      <c r="J60" s="4">
        <v>1</v>
      </c>
      <c r="K60" s="4">
        <f t="shared" ref="K60:K67" si="6">HEX2DEC(J60)</f>
        <v>1</v>
      </c>
    </row>
    <row r="61" spans="1:12">
      <c r="I61" s="1" t="s">
        <v>42</v>
      </c>
      <c r="J61" s="4">
        <v>16</v>
      </c>
      <c r="K61" s="4">
        <f t="shared" si="6"/>
        <v>22</v>
      </c>
    </row>
    <row r="62" spans="1:12">
      <c r="I62" s="1" t="s">
        <v>41</v>
      </c>
      <c r="J62" s="4">
        <v>31</v>
      </c>
      <c r="K62" s="4">
        <f t="shared" si="6"/>
        <v>49</v>
      </c>
    </row>
    <row r="63" spans="1:12">
      <c r="I63" s="1" t="s">
        <v>40</v>
      </c>
      <c r="J63" s="4" t="s">
        <v>177</v>
      </c>
      <c r="K63" s="4">
        <f t="shared" si="6"/>
        <v>235</v>
      </c>
    </row>
    <row r="64" spans="1:12">
      <c r="I64" s="1" t="s">
        <v>39</v>
      </c>
      <c r="J64" s="19">
        <v>1</v>
      </c>
      <c r="K64" s="4">
        <f t="shared" si="6"/>
        <v>1</v>
      </c>
      <c r="L64" s="1" t="s">
        <v>38</v>
      </c>
    </row>
    <row r="65" spans="7:13">
      <c r="I65" s="1" t="s">
        <v>37</v>
      </c>
      <c r="J65" s="4">
        <v>1234</v>
      </c>
      <c r="K65" s="4">
        <f t="shared" si="6"/>
        <v>4660</v>
      </c>
      <c r="L65" s="1" t="s">
        <v>36</v>
      </c>
      <c r="M65" s="1" t="s">
        <v>179</v>
      </c>
    </row>
    <row r="66" spans="7:13">
      <c r="I66" s="1" t="s">
        <v>35</v>
      </c>
      <c r="J66" s="4">
        <v>5678</v>
      </c>
      <c r="K66" s="4">
        <f t="shared" si="6"/>
        <v>22136</v>
      </c>
      <c r="L66" s="1" t="s">
        <v>34</v>
      </c>
      <c r="M66" s="1" t="s">
        <v>179</v>
      </c>
    </row>
    <row r="67" spans="7:13">
      <c r="I67" s="1" t="s">
        <v>33</v>
      </c>
      <c r="J67" s="4" t="s">
        <v>178</v>
      </c>
      <c r="K67" s="4">
        <f t="shared" si="6"/>
        <v>39612</v>
      </c>
      <c r="L67" s="1" t="s">
        <v>32</v>
      </c>
      <c r="M67" s="1" t="s">
        <v>179</v>
      </c>
    </row>
    <row r="68" spans="7:13">
      <c r="G68" s="3"/>
    </row>
    <row r="69" spans="7:13">
      <c r="G69" s="3"/>
    </row>
  </sheetData>
  <sheetProtection selectLockedCells="1"/>
  <mergeCells count="14">
    <mergeCell ref="J53:J56"/>
    <mergeCell ref="J7:J8"/>
    <mergeCell ref="J9:J10"/>
    <mergeCell ref="J11:J12"/>
    <mergeCell ref="J37:J38"/>
    <mergeCell ref="J21:J22"/>
    <mergeCell ref="J23:J24"/>
    <mergeCell ref="J25:J26"/>
    <mergeCell ref="J27:J28"/>
    <mergeCell ref="J45:J48"/>
    <mergeCell ref="J49:J52"/>
    <mergeCell ref="J39:J40"/>
    <mergeCell ref="J41:J42"/>
    <mergeCell ref="J43:J44"/>
  </mergeCells>
  <phoneticPr fontId="4" type="noConversion"/>
  <pageMargins left="0.7" right="0.7" top="0.75" bottom="0.75" header="0.3" footer="0.3"/>
  <pageSetup orientation="portrait" horizontalDpi="300" verticalDpi="300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4AC1F-9F4D-47EF-A353-E92472E3D811}">
  <sheetPr codeName="Sheet7"/>
  <dimension ref="A1:U49"/>
  <sheetViews>
    <sheetView workbookViewId="0">
      <selection activeCell="A14" sqref="A14"/>
    </sheetView>
  </sheetViews>
  <sheetFormatPr defaultRowHeight="15"/>
  <cols>
    <col min="2" max="2" width="26.140625" bestFit="1" customWidth="1"/>
    <col min="6" max="7" width="0" hidden="1" customWidth="1"/>
    <col min="9" max="9" width="42" customWidth="1"/>
    <col min="10" max="10" width="93.85546875" customWidth="1"/>
  </cols>
  <sheetData>
    <row r="1" spans="1:21" s="1" customFormat="1">
      <c r="A1" s="4" t="s">
        <v>191</v>
      </c>
      <c r="B1" s="4" t="s">
        <v>192</v>
      </c>
      <c r="J1" s="2"/>
    </row>
    <row r="2" spans="1:21" s="1" customFormat="1">
      <c r="A2" s="4"/>
      <c r="J2" s="2"/>
    </row>
    <row r="3" spans="1:21" s="1" customFormat="1">
      <c r="A3" s="4" t="s">
        <v>201</v>
      </c>
      <c r="C3" s="1" t="str">
        <f>CONCATENATE(I6,I7,I8,I9,I10,I11,I12,I13,I14,I15,I16,I17,I18)</f>
        <v>/120412D010002FF0000FF01F403E800</v>
      </c>
      <c r="J3" s="2"/>
    </row>
    <row r="4" spans="1:21" s="1" customFormat="1">
      <c r="A4" s="17"/>
      <c r="B4" s="18" t="s">
        <v>20</v>
      </c>
      <c r="C4" s="17" t="s">
        <v>133</v>
      </c>
      <c r="D4" s="17" t="s">
        <v>143</v>
      </c>
      <c r="E4" s="17" t="s">
        <v>144</v>
      </c>
      <c r="F4" s="17" t="s">
        <v>19</v>
      </c>
      <c r="G4" s="17" t="s">
        <v>18</v>
      </c>
      <c r="H4" s="17" t="s">
        <v>17</v>
      </c>
      <c r="I4" s="17"/>
      <c r="J4" s="16" t="s">
        <v>16</v>
      </c>
    </row>
    <row r="5" spans="1:21" s="1" customFormat="1">
      <c r="A5" s="14"/>
      <c r="B5" s="15" t="s">
        <v>145</v>
      </c>
      <c r="C5" s="14">
        <f>SUM(C6:C18)</f>
        <v>32</v>
      </c>
      <c r="D5" s="14"/>
      <c r="E5" s="14"/>
      <c r="F5" s="14"/>
      <c r="G5" s="14"/>
      <c r="H5" s="14"/>
      <c r="I5" s="14"/>
      <c r="J5" s="13"/>
    </row>
    <row r="6" spans="1:21" s="1" customFormat="1">
      <c r="A6" s="12">
        <v>0</v>
      </c>
      <c r="B6" s="10" t="s">
        <v>15</v>
      </c>
      <c r="C6" s="12">
        <v>1</v>
      </c>
      <c r="D6" s="12">
        <v>0</v>
      </c>
      <c r="E6" s="12">
        <f t="shared" ref="E6:E18" si="0">IF(C6&gt;0,D6+C6-1,"")</f>
        <v>0</v>
      </c>
      <c r="F6" s="11" t="s">
        <v>14</v>
      </c>
      <c r="G6" s="11" t="s">
        <v>14</v>
      </c>
      <c r="H6" s="12" t="s">
        <v>2</v>
      </c>
      <c r="I6" s="56" t="s">
        <v>14</v>
      </c>
      <c r="J6" s="21"/>
    </row>
    <row r="7" spans="1:21" s="1" customFormat="1">
      <c r="A7" s="7">
        <v>1</v>
      </c>
      <c r="B7" s="10" t="s">
        <v>136</v>
      </c>
      <c r="C7" s="12">
        <v>1</v>
      </c>
      <c r="D7" s="12">
        <f>IF(C8&gt;0,E6+1,"")</f>
        <v>1</v>
      </c>
      <c r="E7" s="7">
        <f t="shared" si="0"/>
        <v>1</v>
      </c>
      <c r="F7" s="12">
        <v>0</v>
      </c>
      <c r="G7" s="12" t="s">
        <v>69</v>
      </c>
      <c r="H7" s="12" t="s">
        <v>2</v>
      </c>
      <c r="I7" s="56">
        <v>1</v>
      </c>
      <c r="J7" s="48" t="s">
        <v>138</v>
      </c>
    </row>
    <row r="8" spans="1:21" s="1" customFormat="1">
      <c r="A8" s="7">
        <v>2</v>
      </c>
      <c r="B8" s="8" t="s">
        <v>12</v>
      </c>
      <c r="C8" s="7">
        <v>1</v>
      </c>
      <c r="D8" s="7">
        <f>IF(C8&gt;0,E7+1,"")</f>
        <v>2</v>
      </c>
      <c r="E8" s="7">
        <f t="shared" si="0"/>
        <v>2</v>
      </c>
      <c r="F8" s="7">
        <v>0</v>
      </c>
      <c r="G8" s="7" t="s">
        <v>69</v>
      </c>
      <c r="H8" s="7" t="s">
        <v>2</v>
      </c>
      <c r="I8" s="57">
        <f>INT(C5/16)</f>
        <v>2</v>
      </c>
      <c r="J8" s="75" t="s">
        <v>140</v>
      </c>
    </row>
    <row r="9" spans="1:21" s="1" customFormat="1">
      <c r="A9" s="7">
        <v>3</v>
      </c>
      <c r="B9" s="8" t="s">
        <v>10</v>
      </c>
      <c r="C9" s="7">
        <v>1</v>
      </c>
      <c r="D9" s="7">
        <f t="shared" ref="D9:D17" si="1">IF(C9&gt;0,E8+1,"")</f>
        <v>3</v>
      </c>
      <c r="E9" s="7">
        <f t="shared" si="0"/>
        <v>3</v>
      </c>
      <c r="F9" s="7">
        <v>0</v>
      </c>
      <c r="G9" s="7" t="s">
        <v>69</v>
      </c>
      <c r="H9" s="7" t="s">
        <v>2</v>
      </c>
      <c r="I9" s="57" t="str">
        <f>DEC2HEX(MOD(C5,16),1)</f>
        <v>0</v>
      </c>
      <c r="J9" s="76"/>
    </row>
    <row r="10" spans="1:21" s="1" customFormat="1">
      <c r="A10" s="7">
        <v>4</v>
      </c>
      <c r="B10" s="8" t="s">
        <v>9</v>
      </c>
      <c r="C10" s="7">
        <v>1</v>
      </c>
      <c r="D10" s="7">
        <f t="shared" si="1"/>
        <v>4</v>
      </c>
      <c r="E10" s="7">
        <f t="shared" si="0"/>
        <v>4</v>
      </c>
      <c r="F10" s="7">
        <v>0</v>
      </c>
      <c r="G10" s="7" t="s">
        <v>69</v>
      </c>
      <c r="H10" s="7" t="s">
        <v>2</v>
      </c>
      <c r="I10" s="58">
        <v>4</v>
      </c>
      <c r="J10" s="73" t="s">
        <v>189</v>
      </c>
    </row>
    <row r="11" spans="1:21" s="1" customFormat="1">
      <c r="A11" s="7">
        <v>5</v>
      </c>
      <c r="B11" s="8" t="s">
        <v>8</v>
      </c>
      <c r="C11" s="7">
        <v>1</v>
      </c>
      <c r="D11" s="7">
        <f t="shared" si="1"/>
        <v>5</v>
      </c>
      <c r="E11" s="7">
        <f t="shared" si="0"/>
        <v>5</v>
      </c>
      <c r="F11" s="7">
        <v>0</v>
      </c>
      <c r="G11" s="7" t="s">
        <v>69</v>
      </c>
      <c r="H11" s="7" t="s">
        <v>2</v>
      </c>
      <c r="I11" s="58">
        <v>1</v>
      </c>
      <c r="J11" s="74"/>
    </row>
    <row r="12" spans="1:21" s="1" customFormat="1">
      <c r="A12" s="7">
        <v>6</v>
      </c>
      <c r="B12" s="8" t="s">
        <v>7</v>
      </c>
      <c r="C12" s="7">
        <v>1</v>
      </c>
      <c r="D12" s="7">
        <f t="shared" si="1"/>
        <v>6</v>
      </c>
      <c r="E12" s="7">
        <f t="shared" si="0"/>
        <v>6</v>
      </c>
      <c r="F12" s="7">
        <v>0</v>
      </c>
      <c r="G12" s="7" t="s">
        <v>69</v>
      </c>
      <c r="H12" s="7" t="s">
        <v>2</v>
      </c>
      <c r="I12" s="58">
        <v>2</v>
      </c>
      <c r="J12" s="75" t="s">
        <v>6</v>
      </c>
    </row>
    <row r="13" spans="1:21" s="1" customFormat="1">
      <c r="A13" s="7">
        <v>7</v>
      </c>
      <c r="B13" s="8" t="s">
        <v>5</v>
      </c>
      <c r="C13" s="7">
        <v>1</v>
      </c>
      <c r="D13" s="7">
        <f t="shared" si="1"/>
        <v>7</v>
      </c>
      <c r="E13" s="7">
        <f t="shared" si="0"/>
        <v>7</v>
      </c>
      <c r="F13" s="7">
        <v>0</v>
      </c>
      <c r="G13" s="7" t="s">
        <v>69</v>
      </c>
      <c r="H13" s="7" t="s">
        <v>2</v>
      </c>
      <c r="I13" s="58" t="s">
        <v>204</v>
      </c>
      <c r="J13" s="76"/>
    </row>
    <row r="14" spans="1:21" s="1" customFormat="1">
      <c r="A14" s="7">
        <v>8</v>
      </c>
      <c r="B14" s="8" t="s">
        <v>29</v>
      </c>
      <c r="C14" s="7">
        <v>1</v>
      </c>
      <c r="D14" s="7">
        <f t="shared" si="1"/>
        <v>8</v>
      </c>
      <c r="E14" s="7">
        <f t="shared" si="0"/>
        <v>8</v>
      </c>
      <c r="F14" s="7">
        <v>0</v>
      </c>
      <c r="G14" s="7" t="s">
        <v>69</v>
      </c>
      <c r="H14" s="7" t="s">
        <v>2</v>
      </c>
      <c r="I14" s="58">
        <v>0</v>
      </c>
      <c r="J14" s="75" t="s">
        <v>28</v>
      </c>
      <c r="L14" s="3"/>
      <c r="U14" s="2"/>
    </row>
    <row r="15" spans="1:21" s="1" customFormat="1">
      <c r="A15" s="7">
        <v>9</v>
      </c>
      <c r="B15" s="8" t="s">
        <v>27</v>
      </c>
      <c r="C15" s="7">
        <v>1</v>
      </c>
      <c r="D15" s="7">
        <f t="shared" si="1"/>
        <v>9</v>
      </c>
      <c r="E15" s="7">
        <f t="shared" si="0"/>
        <v>9</v>
      </c>
      <c r="F15" s="7">
        <v>0</v>
      </c>
      <c r="G15" s="7" t="s">
        <v>69</v>
      </c>
      <c r="H15" s="7" t="s">
        <v>2</v>
      </c>
      <c r="I15" s="58">
        <v>1</v>
      </c>
      <c r="J15" s="77"/>
      <c r="L15" s="3"/>
      <c r="U15" s="2"/>
    </row>
    <row r="16" spans="1:21" s="1" customFormat="1">
      <c r="A16" s="7">
        <v>10</v>
      </c>
      <c r="B16" s="8" t="s">
        <v>26</v>
      </c>
      <c r="C16" s="7">
        <v>1</v>
      </c>
      <c r="D16" s="7">
        <f t="shared" si="1"/>
        <v>10</v>
      </c>
      <c r="E16" s="7">
        <f t="shared" si="0"/>
        <v>10</v>
      </c>
      <c r="F16" s="7">
        <v>0</v>
      </c>
      <c r="G16" s="7" t="s">
        <v>69</v>
      </c>
      <c r="H16" s="7" t="s">
        <v>2</v>
      </c>
      <c r="I16" s="58">
        <v>0</v>
      </c>
      <c r="J16" s="75" t="s">
        <v>25</v>
      </c>
      <c r="L16" s="3"/>
      <c r="U16" s="2"/>
    </row>
    <row r="17" spans="1:21" s="1" customFormat="1">
      <c r="A17" s="7">
        <v>11</v>
      </c>
      <c r="B17" s="8" t="s">
        <v>24</v>
      </c>
      <c r="C17" s="7">
        <v>1</v>
      </c>
      <c r="D17" s="7">
        <f t="shared" si="1"/>
        <v>11</v>
      </c>
      <c r="E17" s="7">
        <f t="shared" si="0"/>
        <v>11</v>
      </c>
      <c r="F17" s="7">
        <v>0</v>
      </c>
      <c r="G17" s="7" t="s">
        <v>69</v>
      </c>
      <c r="H17" s="7" t="s">
        <v>2</v>
      </c>
      <c r="I17" s="58">
        <v>0</v>
      </c>
      <c r="J17" s="77"/>
      <c r="L17" s="4"/>
      <c r="U17" s="2"/>
    </row>
    <row r="18" spans="1:21" s="1" customFormat="1">
      <c r="A18" s="47">
        <v>12</v>
      </c>
      <c r="B18" s="54" t="s">
        <v>190</v>
      </c>
      <c r="C18" s="47">
        <v>20</v>
      </c>
      <c r="D18" s="47">
        <f>IF(C18&gt;0,E17+1,"")</f>
        <v>12</v>
      </c>
      <c r="E18" s="47">
        <f t="shared" si="0"/>
        <v>31</v>
      </c>
      <c r="F18" s="47"/>
      <c r="G18" s="47"/>
      <c r="H18" s="47" t="s">
        <v>2</v>
      </c>
      <c r="I18" s="59" t="s">
        <v>193</v>
      </c>
      <c r="J18" s="53" t="s">
        <v>213</v>
      </c>
      <c r="L18" s="3"/>
      <c r="U18" s="2"/>
    </row>
    <row r="19" spans="1:21" s="1" customFormat="1">
      <c r="A19" s="60"/>
      <c r="B19" s="61"/>
      <c r="C19" s="60"/>
      <c r="D19" s="60"/>
      <c r="E19" s="60"/>
      <c r="F19" s="60"/>
      <c r="G19" s="60"/>
      <c r="H19" s="60"/>
      <c r="I19" s="62"/>
      <c r="J19" s="63"/>
      <c r="L19" s="3"/>
      <c r="U19" s="2"/>
    </row>
    <row r="20" spans="1:21" s="1" customFormat="1">
      <c r="A20" s="3"/>
      <c r="D20" s="3"/>
      <c r="E20" s="3"/>
    </row>
    <row r="21" spans="1:21" s="1" customFormat="1">
      <c r="A21" s="4" t="s">
        <v>70</v>
      </c>
      <c r="C21" s="3"/>
      <c r="D21" s="3"/>
      <c r="E21" s="3"/>
      <c r="H21" s="3"/>
      <c r="I21" s="3"/>
    </row>
    <row r="22" spans="1:21" s="1" customFormat="1">
      <c r="A22" s="4" t="s">
        <v>50</v>
      </c>
      <c r="C22" s="1" t="str">
        <f>CONCATENATE(I25,I26,I27,I28,I29,I30,I31,I32,I33,I34,I35,I36)</f>
        <v>/10C01250100</v>
      </c>
      <c r="J22" s="2"/>
    </row>
    <row r="23" spans="1:21" s="1" customFormat="1">
      <c r="A23" s="17"/>
      <c r="B23" s="18" t="s">
        <v>20</v>
      </c>
      <c r="C23" s="17" t="s">
        <v>133</v>
      </c>
      <c r="D23" s="17" t="s">
        <v>143</v>
      </c>
      <c r="E23" s="17" t="s">
        <v>144</v>
      </c>
      <c r="F23" s="17" t="s">
        <v>19</v>
      </c>
      <c r="G23" s="17" t="s">
        <v>18</v>
      </c>
      <c r="H23" s="17" t="s">
        <v>17</v>
      </c>
      <c r="I23" s="17" t="s">
        <v>141</v>
      </c>
      <c r="J23" s="17" t="s">
        <v>16</v>
      </c>
    </row>
    <row r="24" spans="1:21" s="1" customFormat="1">
      <c r="A24" s="14"/>
      <c r="B24" s="15" t="s">
        <v>134</v>
      </c>
      <c r="C24" s="14">
        <f>SUM(C25:C36)</f>
        <v>12</v>
      </c>
      <c r="D24" s="14"/>
      <c r="E24" s="14"/>
      <c r="F24" s="14"/>
      <c r="G24" s="14"/>
      <c r="H24" s="14"/>
      <c r="I24" s="14"/>
      <c r="J24" s="13"/>
    </row>
    <row r="25" spans="1:21" s="1" customFormat="1">
      <c r="A25" s="12">
        <v>0</v>
      </c>
      <c r="B25" s="10" t="s">
        <v>13</v>
      </c>
      <c r="C25" s="12">
        <v>1</v>
      </c>
      <c r="D25" s="12">
        <v>0</v>
      </c>
      <c r="E25" s="12">
        <f t="shared" ref="E25:E36" si="2">IF(C25&gt;0,D25+C25-1,"")</f>
        <v>0</v>
      </c>
      <c r="F25" s="12">
        <v>0</v>
      </c>
      <c r="G25" s="12"/>
      <c r="H25" s="12" t="s">
        <v>2</v>
      </c>
      <c r="I25" s="11" t="s">
        <v>14</v>
      </c>
      <c r="J25" s="10" t="s">
        <v>13</v>
      </c>
    </row>
    <row r="26" spans="1:21" s="1" customFormat="1">
      <c r="A26" s="7">
        <v>1</v>
      </c>
      <c r="B26" s="10" t="s">
        <v>136</v>
      </c>
      <c r="C26" s="12">
        <v>1</v>
      </c>
      <c r="D26" s="12">
        <f>IF(C27&gt;0,E25+1,"")</f>
        <v>1</v>
      </c>
      <c r="E26" s="7">
        <f t="shared" si="2"/>
        <v>1</v>
      </c>
      <c r="F26" s="12">
        <v>0</v>
      </c>
      <c r="G26" s="12" t="s">
        <v>69</v>
      </c>
      <c r="H26" s="12" t="s">
        <v>2</v>
      </c>
      <c r="I26" s="11">
        <v>1</v>
      </c>
      <c r="J26" s="48" t="s">
        <v>138</v>
      </c>
    </row>
    <row r="27" spans="1:21" s="1" customFormat="1">
      <c r="A27" s="7">
        <v>2</v>
      </c>
      <c r="B27" s="8" t="s">
        <v>12</v>
      </c>
      <c r="C27" s="7">
        <v>1</v>
      </c>
      <c r="D27" s="7">
        <f t="shared" ref="D27:D32" si="3">IF(C27&gt;0,E26+1,"")</f>
        <v>2</v>
      </c>
      <c r="E27" s="7">
        <f t="shared" si="2"/>
        <v>2</v>
      </c>
      <c r="F27" s="7">
        <v>0</v>
      </c>
      <c r="G27" s="7"/>
      <c r="H27" s="7" t="s">
        <v>2</v>
      </c>
      <c r="I27" s="9" t="str">
        <f>DEC2HEX(INT(C24/16),1)</f>
        <v>0</v>
      </c>
      <c r="J27" s="75" t="s">
        <v>11</v>
      </c>
    </row>
    <row r="28" spans="1:21" s="1" customFormat="1">
      <c r="A28" s="7">
        <v>3</v>
      </c>
      <c r="B28" s="8" t="s">
        <v>10</v>
      </c>
      <c r="C28" s="7">
        <v>1</v>
      </c>
      <c r="D28" s="7">
        <f t="shared" si="3"/>
        <v>3</v>
      </c>
      <c r="E28" s="7">
        <f t="shared" si="2"/>
        <v>3</v>
      </c>
      <c r="F28" s="7">
        <v>8</v>
      </c>
      <c r="G28" s="7"/>
      <c r="H28" s="7" t="s">
        <v>2</v>
      </c>
      <c r="I28" s="9" t="str">
        <f>DEC2HEX(MOD(C24,16),1)</f>
        <v>C</v>
      </c>
      <c r="J28" s="76"/>
    </row>
    <row r="29" spans="1:21" s="1" customFormat="1">
      <c r="A29" s="7">
        <v>4</v>
      </c>
      <c r="B29" s="8" t="s">
        <v>9</v>
      </c>
      <c r="C29" s="7">
        <v>1</v>
      </c>
      <c r="D29" s="7">
        <f t="shared" si="3"/>
        <v>4</v>
      </c>
      <c r="E29" s="7">
        <f t="shared" si="2"/>
        <v>4</v>
      </c>
      <c r="F29" s="7">
        <v>0</v>
      </c>
      <c r="G29" s="7"/>
      <c r="H29" s="7" t="s">
        <v>2</v>
      </c>
      <c r="I29" s="7">
        <v>0</v>
      </c>
      <c r="J29" s="73"/>
    </row>
    <row r="30" spans="1:21" s="1" customFormat="1">
      <c r="A30" s="7">
        <v>5</v>
      </c>
      <c r="B30" s="8" t="s">
        <v>8</v>
      </c>
      <c r="C30" s="7">
        <v>1</v>
      </c>
      <c r="D30" s="7">
        <f t="shared" si="3"/>
        <v>5</v>
      </c>
      <c r="E30" s="7">
        <f t="shared" si="2"/>
        <v>5</v>
      </c>
      <c r="F30" s="7">
        <v>0</v>
      </c>
      <c r="G30" s="7"/>
      <c r="H30" s="7" t="s">
        <v>2</v>
      </c>
      <c r="I30" s="7">
        <v>1</v>
      </c>
      <c r="J30" s="74"/>
    </row>
    <row r="31" spans="1:21" s="1" customFormat="1">
      <c r="A31" s="7">
        <v>6</v>
      </c>
      <c r="B31" s="8" t="s">
        <v>7</v>
      </c>
      <c r="C31" s="7">
        <v>1</v>
      </c>
      <c r="D31" s="7">
        <f t="shared" si="3"/>
        <v>6</v>
      </c>
      <c r="E31" s="7">
        <f t="shared" si="2"/>
        <v>6</v>
      </c>
      <c r="F31" s="7">
        <v>0</v>
      </c>
      <c r="G31" s="7"/>
      <c r="H31" s="7" t="s">
        <v>2</v>
      </c>
      <c r="I31" s="7">
        <v>2</v>
      </c>
      <c r="J31" s="75" t="s">
        <v>6</v>
      </c>
    </row>
    <row r="32" spans="1:21" s="1" customFormat="1" ht="14.25" customHeight="1">
      <c r="A32" s="7">
        <v>7</v>
      </c>
      <c r="B32" s="8" t="s">
        <v>5</v>
      </c>
      <c r="C32" s="7">
        <v>1</v>
      </c>
      <c r="D32" s="7">
        <f t="shared" si="3"/>
        <v>7</v>
      </c>
      <c r="E32" s="7">
        <f t="shared" si="2"/>
        <v>7</v>
      </c>
      <c r="F32" s="7">
        <v>0</v>
      </c>
      <c r="G32" s="7"/>
      <c r="H32" s="7" t="s">
        <v>2</v>
      </c>
      <c r="I32" s="7">
        <v>5</v>
      </c>
      <c r="J32" s="76"/>
    </row>
    <row r="33" spans="1:10" s="1" customFormat="1" ht="21" customHeight="1">
      <c r="A33" s="7">
        <v>8</v>
      </c>
      <c r="B33" s="8" t="s">
        <v>4</v>
      </c>
      <c r="C33" s="7">
        <v>1</v>
      </c>
      <c r="D33" s="7">
        <f>IF(C33&gt;0,D32+1,"")</f>
        <v>8</v>
      </c>
      <c r="E33" s="7">
        <f t="shared" si="2"/>
        <v>8</v>
      </c>
      <c r="F33" s="7">
        <v>1</v>
      </c>
      <c r="G33" s="7"/>
      <c r="H33" s="7" t="s">
        <v>2</v>
      </c>
      <c r="I33" s="7">
        <v>0</v>
      </c>
      <c r="J33" s="78" t="s">
        <v>153</v>
      </c>
    </row>
    <row r="34" spans="1:10" s="1" customFormat="1" ht="21" customHeight="1">
      <c r="A34" s="7">
        <v>9</v>
      </c>
      <c r="B34" s="8" t="s">
        <v>3</v>
      </c>
      <c r="C34" s="7">
        <v>1</v>
      </c>
      <c r="D34" s="7">
        <f>IF(C34&gt;0,D33+1,"")</f>
        <v>9</v>
      </c>
      <c r="E34" s="7">
        <f t="shared" si="2"/>
        <v>9</v>
      </c>
      <c r="F34" s="7">
        <v>1</v>
      </c>
      <c r="G34" s="7"/>
      <c r="H34" s="7" t="s">
        <v>2</v>
      </c>
      <c r="I34" s="7">
        <v>1</v>
      </c>
      <c r="J34" s="79"/>
    </row>
    <row r="35" spans="1:10" s="1" customFormat="1">
      <c r="A35" s="7">
        <v>10</v>
      </c>
      <c r="B35" s="8" t="s">
        <v>26</v>
      </c>
      <c r="C35" s="7">
        <v>1</v>
      </c>
      <c r="D35" s="7">
        <f>IF(C35&gt;0,E34+1,"")</f>
        <v>10</v>
      </c>
      <c r="E35" s="7">
        <f t="shared" si="2"/>
        <v>10</v>
      </c>
      <c r="F35" s="7">
        <v>0</v>
      </c>
      <c r="G35" s="7"/>
      <c r="H35" s="7" t="s">
        <v>0</v>
      </c>
      <c r="I35" s="7">
        <v>0</v>
      </c>
      <c r="J35" s="75" t="s">
        <v>25</v>
      </c>
    </row>
    <row r="36" spans="1:10" s="1" customFormat="1">
      <c r="A36" s="5">
        <v>11</v>
      </c>
      <c r="B36" s="6" t="s">
        <v>24</v>
      </c>
      <c r="C36" s="5">
        <v>1</v>
      </c>
      <c r="D36" s="5">
        <f>IF(C36&gt;0,E35+1,"")</f>
        <v>11</v>
      </c>
      <c r="E36" s="5">
        <f t="shared" si="2"/>
        <v>11</v>
      </c>
      <c r="F36" s="5">
        <v>0</v>
      </c>
      <c r="G36" s="5"/>
      <c r="H36" s="5" t="s">
        <v>0</v>
      </c>
      <c r="I36" s="5">
        <v>0</v>
      </c>
      <c r="J36" s="95"/>
    </row>
    <row r="37" spans="1:10" s="1" customFormat="1">
      <c r="A37" s="3"/>
      <c r="C37" s="3"/>
      <c r="D37" s="3"/>
      <c r="E37" s="3"/>
      <c r="F37" s="3"/>
      <c r="G37" s="3"/>
      <c r="H37" s="3"/>
      <c r="I37" s="3"/>
    </row>
    <row r="38" spans="1:10" s="1" customFormat="1">
      <c r="A38" s="4" t="s">
        <v>205</v>
      </c>
    </row>
    <row r="39" spans="1:10" s="1" customFormat="1">
      <c r="A39" s="4" t="s">
        <v>202</v>
      </c>
      <c r="D39" s="3"/>
      <c r="E39" s="3"/>
      <c r="I39" s="1" t="s">
        <v>193</v>
      </c>
    </row>
    <row r="40" spans="1:10" s="1" customFormat="1">
      <c r="A40" s="4" t="s">
        <v>194</v>
      </c>
      <c r="D40" s="3"/>
      <c r="E40" s="3"/>
      <c r="I40" s="1" t="s">
        <v>195</v>
      </c>
    </row>
    <row r="41" spans="1:10" s="1" customFormat="1">
      <c r="A41" s="4" t="s">
        <v>196</v>
      </c>
      <c r="D41" s="3"/>
      <c r="E41" s="3"/>
      <c r="I41" s="1" t="s">
        <v>197</v>
      </c>
    </row>
    <row r="42" spans="1:10" s="1" customFormat="1">
      <c r="A42" s="3"/>
      <c r="C42" s="3"/>
      <c r="D42" s="3"/>
      <c r="E42" s="3"/>
      <c r="F42" s="3"/>
      <c r="G42" s="3"/>
      <c r="H42" s="3"/>
      <c r="I42" s="3"/>
    </row>
    <row r="43" spans="1:10" s="1" customFormat="1">
      <c r="A43" s="4" t="s">
        <v>212</v>
      </c>
      <c r="D43" s="3"/>
      <c r="E43" s="3"/>
    </row>
    <row r="44" spans="1:10" s="4" customFormat="1">
      <c r="C44" s="4" t="s">
        <v>45</v>
      </c>
      <c r="I44" s="4" t="s">
        <v>54</v>
      </c>
    </row>
    <row r="45" spans="1:10">
      <c r="A45" s="4" t="s">
        <v>207</v>
      </c>
      <c r="B45" s="1" t="s">
        <v>206</v>
      </c>
      <c r="C45" t="s">
        <v>203</v>
      </c>
      <c r="I45" t="s">
        <v>198</v>
      </c>
    </row>
    <row r="46" spans="1:10">
      <c r="B46" s="1"/>
    </row>
    <row r="47" spans="1:10">
      <c r="A47" t="s">
        <v>208</v>
      </c>
      <c r="B47" s="1" t="s">
        <v>61</v>
      </c>
      <c r="C47" t="s">
        <v>210</v>
      </c>
      <c r="I47" t="s">
        <v>199</v>
      </c>
    </row>
    <row r="48" spans="1:10">
      <c r="B48" s="1"/>
    </row>
    <row r="49" spans="1:9">
      <c r="A49" t="s">
        <v>209</v>
      </c>
      <c r="B49" s="1" t="s">
        <v>58</v>
      </c>
      <c r="C49" t="s">
        <v>211</v>
      </c>
      <c r="I49" t="s">
        <v>200</v>
      </c>
    </row>
  </sheetData>
  <mergeCells count="10">
    <mergeCell ref="J27:J28"/>
    <mergeCell ref="J29:J30"/>
    <mergeCell ref="J31:J32"/>
    <mergeCell ref="J33:J34"/>
    <mergeCell ref="J35:J36"/>
    <mergeCell ref="J8:J9"/>
    <mergeCell ref="J10:J11"/>
    <mergeCell ref="J12:J13"/>
    <mergeCell ref="J14:J15"/>
    <mergeCell ref="J16:J17"/>
  </mergeCells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5F440-CDC5-4D3A-9711-71742ED64EC9}">
  <sheetPr codeName="Sheet5"/>
  <dimension ref="A1:K79"/>
  <sheetViews>
    <sheetView topLeftCell="A20" workbookViewId="0">
      <selection activeCell="J49" sqref="J49"/>
    </sheetView>
  </sheetViews>
  <sheetFormatPr defaultRowHeight="15"/>
  <cols>
    <col min="1" max="1" width="9.140625" style="3"/>
    <col min="2" max="2" width="27.85546875" style="1" customWidth="1"/>
    <col min="3" max="3" width="9.140625" style="1"/>
    <col min="4" max="5" width="10" style="3" hidden="1" customWidth="1"/>
    <col min="6" max="7" width="0" style="1" hidden="1" customWidth="1"/>
    <col min="8" max="8" width="11.7109375" style="1" bestFit="1" customWidth="1"/>
    <col min="9" max="9" width="16.85546875" style="1" customWidth="1"/>
    <col min="10" max="10" width="62.42578125" style="1" customWidth="1"/>
    <col min="11" max="16384" width="9.140625" style="1"/>
  </cols>
  <sheetData>
    <row r="1" spans="1:10">
      <c r="A1" s="4" t="s">
        <v>329</v>
      </c>
    </row>
    <row r="2" spans="1:10">
      <c r="A2" s="4" t="s">
        <v>53</v>
      </c>
      <c r="C2" s="1" t="str">
        <f>CONCATENATE(I5,I6,I7,I8,I9,I10,I11,I12,I13,I14,I15,I16,K36)</f>
        <v>/14201120400000050000000000000000000000001000000000200000000000000</v>
      </c>
    </row>
    <row r="3" spans="1:10">
      <c r="A3" s="17"/>
      <c r="B3" s="18" t="s">
        <v>20</v>
      </c>
      <c r="C3" s="17" t="s">
        <v>133</v>
      </c>
      <c r="D3" s="17" t="s">
        <v>143</v>
      </c>
      <c r="E3" s="17" t="s">
        <v>144</v>
      </c>
      <c r="F3" s="17" t="s">
        <v>19</v>
      </c>
      <c r="G3" s="17" t="s">
        <v>18</v>
      </c>
      <c r="H3" s="17" t="s">
        <v>17</v>
      </c>
      <c r="I3" s="17" t="s">
        <v>141</v>
      </c>
      <c r="J3" s="17" t="s">
        <v>16</v>
      </c>
    </row>
    <row r="4" spans="1:10">
      <c r="A4" s="14"/>
      <c r="B4" s="15" t="s">
        <v>134</v>
      </c>
      <c r="C4" s="14">
        <f>SUM(C5:C17)</f>
        <v>66</v>
      </c>
      <c r="D4" s="14"/>
      <c r="E4" s="14"/>
      <c r="F4" s="14"/>
      <c r="G4" s="14"/>
      <c r="H4" s="14"/>
      <c r="I4" s="14"/>
      <c r="J4" s="15"/>
    </row>
    <row r="5" spans="1:10">
      <c r="A5" s="12">
        <v>0</v>
      </c>
      <c r="B5" s="10" t="s">
        <v>15</v>
      </c>
      <c r="C5" s="12">
        <v>1</v>
      </c>
      <c r="D5" s="12">
        <v>0</v>
      </c>
      <c r="E5" s="12">
        <f t="shared" ref="E5:E17" si="0">IF(C5&gt;0,D5+C5-1,"")</f>
        <v>0</v>
      </c>
      <c r="F5" s="12">
        <v>0</v>
      </c>
      <c r="G5" s="12"/>
      <c r="H5" s="12" t="s">
        <v>2</v>
      </c>
      <c r="I5" s="11" t="s">
        <v>14</v>
      </c>
      <c r="J5" s="10" t="s">
        <v>13</v>
      </c>
    </row>
    <row r="6" spans="1:10">
      <c r="A6" s="7">
        <v>1</v>
      </c>
      <c r="B6" s="10" t="s">
        <v>136</v>
      </c>
      <c r="C6" s="12">
        <v>1</v>
      </c>
      <c r="D6" s="12">
        <f>IF(C7&gt;0,E5+1,"")</f>
        <v>1</v>
      </c>
      <c r="E6" s="7">
        <f t="shared" si="0"/>
        <v>1</v>
      </c>
      <c r="F6" s="12">
        <v>0</v>
      </c>
      <c r="G6" s="12" t="s">
        <v>69</v>
      </c>
      <c r="H6" s="12" t="s">
        <v>2</v>
      </c>
      <c r="I6" s="11">
        <v>1</v>
      </c>
      <c r="J6" s="48" t="s">
        <v>138</v>
      </c>
    </row>
    <row r="7" spans="1:10">
      <c r="A7" s="7">
        <v>2</v>
      </c>
      <c r="B7" s="8" t="s">
        <v>12</v>
      </c>
      <c r="C7" s="7">
        <v>1</v>
      </c>
      <c r="D7" s="7">
        <f>IF(C7&gt;0,E6+1,"")</f>
        <v>2</v>
      </c>
      <c r="E7" s="7">
        <f t="shared" si="0"/>
        <v>2</v>
      </c>
      <c r="F7" s="7">
        <v>0</v>
      </c>
      <c r="G7" s="7"/>
      <c r="H7" s="7" t="s">
        <v>2</v>
      </c>
      <c r="I7" s="9" t="str">
        <f>DEC2HEX(INT(C4/16))</f>
        <v>4</v>
      </c>
      <c r="J7" s="75" t="s">
        <v>11</v>
      </c>
    </row>
    <row r="8" spans="1:10">
      <c r="A8" s="7">
        <v>3</v>
      </c>
      <c r="B8" s="8" t="s">
        <v>10</v>
      </c>
      <c r="C8" s="7">
        <v>1</v>
      </c>
      <c r="D8" s="7">
        <f t="shared" ref="D8:D16" si="1">IF(C8&gt;0,E7+1,"")</f>
        <v>3</v>
      </c>
      <c r="E8" s="7">
        <f t="shared" si="0"/>
        <v>3</v>
      </c>
      <c r="F8" s="7">
        <v>8</v>
      </c>
      <c r="G8" s="7"/>
      <c r="H8" s="7" t="s">
        <v>2</v>
      </c>
      <c r="I8" s="9" t="str">
        <f>DEC2HEX(MOD(C4,16))</f>
        <v>2</v>
      </c>
      <c r="J8" s="76"/>
    </row>
    <row r="9" spans="1:10">
      <c r="A9" s="7">
        <v>4</v>
      </c>
      <c r="B9" s="8" t="s">
        <v>9</v>
      </c>
      <c r="C9" s="7">
        <v>1</v>
      </c>
      <c r="D9" s="7">
        <f t="shared" si="1"/>
        <v>4</v>
      </c>
      <c r="E9" s="7">
        <f t="shared" si="0"/>
        <v>4</v>
      </c>
      <c r="F9" s="7">
        <v>0</v>
      </c>
      <c r="G9" s="7"/>
      <c r="H9" s="7" t="s">
        <v>2</v>
      </c>
      <c r="I9" s="7">
        <v>0</v>
      </c>
      <c r="J9" s="73" t="s">
        <v>73</v>
      </c>
    </row>
    <row r="10" spans="1:10">
      <c r="A10" s="7">
        <v>5</v>
      </c>
      <c r="B10" s="8" t="s">
        <v>8</v>
      </c>
      <c r="C10" s="7">
        <v>1</v>
      </c>
      <c r="D10" s="7">
        <f t="shared" si="1"/>
        <v>5</v>
      </c>
      <c r="E10" s="7">
        <f t="shared" si="0"/>
        <v>5</v>
      </c>
      <c r="F10" s="7">
        <v>0</v>
      </c>
      <c r="G10" s="7"/>
      <c r="H10" s="7" t="s">
        <v>2</v>
      </c>
      <c r="I10" s="7">
        <v>1</v>
      </c>
      <c r="J10" s="74"/>
    </row>
    <row r="11" spans="1:10">
      <c r="A11" s="7">
        <v>6</v>
      </c>
      <c r="B11" s="8" t="s">
        <v>7</v>
      </c>
      <c r="C11" s="7">
        <v>1</v>
      </c>
      <c r="D11" s="7">
        <f t="shared" si="1"/>
        <v>6</v>
      </c>
      <c r="E11" s="7">
        <f t="shared" si="0"/>
        <v>6</v>
      </c>
      <c r="F11" s="7">
        <v>0</v>
      </c>
      <c r="G11" s="7"/>
      <c r="H11" s="7" t="s">
        <v>2</v>
      </c>
      <c r="I11" s="7">
        <v>1</v>
      </c>
      <c r="J11" s="75" t="s">
        <v>6</v>
      </c>
    </row>
    <row r="12" spans="1:10">
      <c r="A12" s="7">
        <v>7</v>
      </c>
      <c r="B12" s="8" t="s">
        <v>5</v>
      </c>
      <c r="C12" s="7">
        <v>1</v>
      </c>
      <c r="D12" s="7">
        <f t="shared" si="1"/>
        <v>7</v>
      </c>
      <c r="E12" s="7">
        <f t="shared" si="0"/>
        <v>7</v>
      </c>
      <c r="F12" s="7">
        <v>0</v>
      </c>
      <c r="G12" s="7"/>
      <c r="H12" s="7" t="s">
        <v>2</v>
      </c>
      <c r="I12" s="7">
        <v>2</v>
      </c>
      <c r="J12" s="76"/>
    </row>
    <row r="13" spans="1:10">
      <c r="A13" s="7">
        <v>8</v>
      </c>
      <c r="B13" s="8" t="s">
        <v>29</v>
      </c>
      <c r="C13" s="7">
        <v>1</v>
      </c>
      <c r="D13" s="7">
        <f t="shared" si="1"/>
        <v>8</v>
      </c>
      <c r="E13" s="7">
        <f t="shared" si="0"/>
        <v>8</v>
      </c>
      <c r="F13" s="7">
        <v>0</v>
      </c>
      <c r="G13" s="7"/>
      <c r="H13" s="7" t="s">
        <v>0</v>
      </c>
      <c r="I13" s="7">
        <v>0</v>
      </c>
      <c r="J13" s="75" t="s">
        <v>28</v>
      </c>
    </row>
    <row r="14" spans="1:10">
      <c r="A14" s="7">
        <v>9</v>
      </c>
      <c r="B14" s="8" t="s">
        <v>27</v>
      </c>
      <c r="C14" s="7">
        <v>1</v>
      </c>
      <c r="D14" s="7">
        <f t="shared" si="1"/>
        <v>9</v>
      </c>
      <c r="E14" s="7">
        <f t="shared" si="0"/>
        <v>9</v>
      </c>
      <c r="F14" s="7">
        <v>0</v>
      </c>
      <c r="G14" s="7"/>
      <c r="H14" s="7" t="s">
        <v>0</v>
      </c>
      <c r="I14" s="7">
        <v>4</v>
      </c>
      <c r="J14" s="77"/>
    </row>
    <row r="15" spans="1:10">
      <c r="A15" s="7">
        <v>10</v>
      </c>
      <c r="B15" s="8" t="s">
        <v>26</v>
      </c>
      <c r="C15" s="7">
        <v>1</v>
      </c>
      <c r="D15" s="7">
        <f t="shared" si="1"/>
        <v>10</v>
      </c>
      <c r="E15" s="7">
        <f t="shared" si="0"/>
        <v>10</v>
      </c>
      <c r="F15" s="7">
        <v>0</v>
      </c>
      <c r="G15" s="7"/>
      <c r="H15" s="7" t="s">
        <v>0</v>
      </c>
      <c r="I15" s="7">
        <v>0</v>
      </c>
      <c r="J15" s="75" t="s">
        <v>25</v>
      </c>
    </row>
    <row r="16" spans="1:10">
      <c r="A16" s="47">
        <v>11</v>
      </c>
      <c r="B16" s="8" t="s">
        <v>24</v>
      </c>
      <c r="C16" s="7">
        <v>1</v>
      </c>
      <c r="D16" s="7">
        <f t="shared" si="1"/>
        <v>11</v>
      </c>
      <c r="E16" s="7">
        <f t="shared" si="0"/>
        <v>11</v>
      </c>
      <c r="F16" s="7">
        <v>0</v>
      </c>
      <c r="G16" s="7"/>
      <c r="H16" s="7" t="s">
        <v>0</v>
      </c>
      <c r="I16" s="7">
        <v>0</v>
      </c>
      <c r="J16" s="77"/>
    </row>
    <row r="17" spans="1:10">
      <c r="A17" s="5" t="s">
        <v>137</v>
      </c>
      <c r="B17" s="6" t="s">
        <v>72</v>
      </c>
      <c r="C17" s="5">
        <v>54</v>
      </c>
      <c r="D17" s="5">
        <f>E16+1</f>
        <v>12</v>
      </c>
      <c r="E17" s="5">
        <f t="shared" si="0"/>
        <v>65</v>
      </c>
      <c r="F17" s="5"/>
      <c r="G17" s="5"/>
      <c r="H17" s="5" t="s">
        <v>0</v>
      </c>
      <c r="I17" s="5"/>
      <c r="J17" s="6" t="s">
        <v>71</v>
      </c>
    </row>
    <row r="18" spans="1:10">
      <c r="C18" s="3"/>
      <c r="H18" s="3"/>
      <c r="I18" s="3"/>
    </row>
    <row r="19" spans="1:10">
      <c r="A19" s="4" t="s">
        <v>70</v>
      </c>
      <c r="C19" s="3"/>
      <c r="H19" s="3"/>
      <c r="I19" s="3"/>
    </row>
    <row r="20" spans="1:10">
      <c r="A20" s="4" t="s">
        <v>50</v>
      </c>
      <c r="C20" s="1" t="e">
        <f>CONCATENATE(I23,I24,I25,I26,I27,I28,I29,I30,I31,I32,#REF!,#REF!)</f>
        <v>#REF!</v>
      </c>
      <c r="D20" s="1"/>
      <c r="E20" s="1"/>
      <c r="J20" s="2"/>
    </row>
    <row r="21" spans="1:10">
      <c r="A21" s="17"/>
      <c r="B21" s="18" t="s">
        <v>20</v>
      </c>
      <c r="C21" s="17" t="s">
        <v>133</v>
      </c>
      <c r="D21" s="17" t="s">
        <v>143</v>
      </c>
      <c r="E21" s="17" t="s">
        <v>144</v>
      </c>
      <c r="F21" s="17" t="s">
        <v>19</v>
      </c>
      <c r="G21" s="17" t="s">
        <v>18</v>
      </c>
      <c r="H21" s="17" t="s">
        <v>17</v>
      </c>
      <c r="I21" s="17" t="s">
        <v>141</v>
      </c>
      <c r="J21" s="17" t="s">
        <v>16</v>
      </c>
    </row>
    <row r="22" spans="1:10">
      <c r="A22" s="14"/>
      <c r="B22" s="15" t="s">
        <v>134</v>
      </c>
      <c r="C22" s="14">
        <f>SUM(C23:C32)</f>
        <v>10</v>
      </c>
      <c r="D22" s="14"/>
      <c r="E22" s="14"/>
      <c r="F22" s="14"/>
      <c r="G22" s="14"/>
      <c r="H22" s="14"/>
      <c r="I22" s="14"/>
      <c r="J22" s="13"/>
    </row>
    <row r="23" spans="1:10">
      <c r="A23" s="12">
        <v>0</v>
      </c>
      <c r="B23" s="10" t="s">
        <v>15</v>
      </c>
      <c r="C23" s="12">
        <v>1</v>
      </c>
      <c r="D23" s="12">
        <v>0</v>
      </c>
      <c r="E23" s="12">
        <f t="shared" ref="E23:E32" si="2">IF(C23&gt;0,D23+C23-1,"")</f>
        <v>0</v>
      </c>
      <c r="F23" s="12">
        <v>0</v>
      </c>
      <c r="G23" s="12"/>
      <c r="H23" s="12" t="s">
        <v>2</v>
      </c>
      <c r="I23" s="11" t="s">
        <v>14</v>
      </c>
      <c r="J23" s="10" t="s">
        <v>13</v>
      </c>
    </row>
    <row r="24" spans="1:10">
      <c r="A24" s="7">
        <v>1</v>
      </c>
      <c r="B24" s="10" t="s">
        <v>136</v>
      </c>
      <c r="C24" s="12">
        <v>1</v>
      </c>
      <c r="D24" s="12">
        <f>IF(C25&gt;0,E23+1,"")</f>
        <v>1</v>
      </c>
      <c r="E24" s="7">
        <f t="shared" si="2"/>
        <v>1</v>
      </c>
      <c r="F24" s="12">
        <v>0</v>
      </c>
      <c r="G24" s="12" t="s">
        <v>69</v>
      </c>
      <c r="H24" s="12" t="s">
        <v>2</v>
      </c>
      <c r="I24" s="11">
        <v>1</v>
      </c>
      <c r="J24" s="48" t="s">
        <v>138</v>
      </c>
    </row>
    <row r="25" spans="1:10">
      <c r="A25" s="7">
        <v>2</v>
      </c>
      <c r="B25" s="8" t="s">
        <v>12</v>
      </c>
      <c r="C25" s="7">
        <v>1</v>
      </c>
      <c r="D25" s="7">
        <f t="shared" ref="D25:D30" si="3">IF(C25&gt;0,E24+1,"")</f>
        <v>2</v>
      </c>
      <c r="E25" s="7">
        <f t="shared" si="2"/>
        <v>2</v>
      </c>
      <c r="F25" s="7">
        <v>0</v>
      </c>
      <c r="G25" s="7"/>
      <c r="H25" s="7" t="s">
        <v>2</v>
      </c>
      <c r="I25" s="9" t="str">
        <f>DEC2HEX(INT(C22/16),1)</f>
        <v>0</v>
      </c>
      <c r="J25" s="75" t="s">
        <v>11</v>
      </c>
    </row>
    <row r="26" spans="1:10">
      <c r="A26" s="7">
        <v>3</v>
      </c>
      <c r="B26" s="8" t="s">
        <v>10</v>
      </c>
      <c r="C26" s="7">
        <v>1</v>
      </c>
      <c r="D26" s="7">
        <f t="shared" si="3"/>
        <v>3</v>
      </c>
      <c r="E26" s="7">
        <f t="shared" si="2"/>
        <v>3</v>
      </c>
      <c r="F26" s="7">
        <v>8</v>
      </c>
      <c r="G26" s="7"/>
      <c r="H26" s="7" t="s">
        <v>2</v>
      </c>
      <c r="I26" s="9" t="str">
        <f>DEC2HEX(MOD(C22,16),1)</f>
        <v>A</v>
      </c>
      <c r="J26" s="76"/>
    </row>
    <row r="27" spans="1:10">
      <c r="A27" s="7">
        <v>4</v>
      </c>
      <c r="B27" s="8" t="s">
        <v>9</v>
      </c>
      <c r="C27" s="7">
        <v>1</v>
      </c>
      <c r="D27" s="7">
        <f t="shared" si="3"/>
        <v>4</v>
      </c>
      <c r="E27" s="7">
        <f t="shared" si="2"/>
        <v>4</v>
      </c>
      <c r="F27" s="7">
        <v>0</v>
      </c>
      <c r="G27" s="7"/>
      <c r="H27" s="7" t="s">
        <v>2</v>
      </c>
      <c r="I27" s="7">
        <v>0</v>
      </c>
      <c r="J27" s="73"/>
    </row>
    <row r="28" spans="1:10">
      <c r="A28" s="7">
        <v>5</v>
      </c>
      <c r="B28" s="8" t="s">
        <v>8</v>
      </c>
      <c r="C28" s="7">
        <v>1</v>
      </c>
      <c r="D28" s="7">
        <f t="shared" si="3"/>
        <v>5</v>
      </c>
      <c r="E28" s="7">
        <f t="shared" si="2"/>
        <v>5</v>
      </c>
      <c r="F28" s="7">
        <v>0</v>
      </c>
      <c r="G28" s="7"/>
      <c r="H28" s="7" t="s">
        <v>2</v>
      </c>
      <c r="I28" s="7">
        <v>1</v>
      </c>
      <c r="J28" s="74"/>
    </row>
    <row r="29" spans="1:10">
      <c r="A29" s="7">
        <v>6</v>
      </c>
      <c r="B29" s="8" t="s">
        <v>7</v>
      </c>
      <c r="C29" s="7">
        <v>1</v>
      </c>
      <c r="D29" s="7">
        <f t="shared" si="3"/>
        <v>6</v>
      </c>
      <c r="E29" s="7">
        <f t="shared" si="2"/>
        <v>6</v>
      </c>
      <c r="F29" s="7">
        <v>0</v>
      </c>
      <c r="G29" s="7"/>
      <c r="H29" s="7" t="s">
        <v>2</v>
      </c>
      <c r="I29" s="7" t="s">
        <v>69</v>
      </c>
      <c r="J29" s="75" t="s">
        <v>6</v>
      </c>
    </row>
    <row r="30" spans="1:10" ht="14.25" customHeight="1">
      <c r="A30" s="7">
        <v>7</v>
      </c>
      <c r="B30" s="8" t="s">
        <v>5</v>
      </c>
      <c r="C30" s="7">
        <v>1</v>
      </c>
      <c r="D30" s="7">
        <f t="shared" si="3"/>
        <v>7</v>
      </c>
      <c r="E30" s="7">
        <f t="shared" si="2"/>
        <v>7</v>
      </c>
      <c r="F30" s="7">
        <v>0</v>
      </c>
      <c r="G30" s="7"/>
      <c r="H30" s="7" t="s">
        <v>2</v>
      </c>
      <c r="I30" s="7" t="s">
        <v>69</v>
      </c>
      <c r="J30" s="76"/>
    </row>
    <row r="31" spans="1:10" ht="21" customHeight="1">
      <c r="A31" s="7">
        <v>8</v>
      </c>
      <c r="B31" s="8" t="s">
        <v>4</v>
      </c>
      <c r="C31" s="7">
        <v>1</v>
      </c>
      <c r="D31" s="7">
        <f>IF(C31&gt;0,D30+1,"")</f>
        <v>8</v>
      </c>
      <c r="E31" s="7">
        <f t="shared" si="2"/>
        <v>8</v>
      </c>
      <c r="F31" s="7">
        <v>1</v>
      </c>
      <c r="G31" s="7"/>
      <c r="H31" s="7" t="s">
        <v>2</v>
      </c>
      <c r="I31" s="7">
        <v>0</v>
      </c>
      <c r="J31" s="78" t="s">
        <v>153</v>
      </c>
    </row>
    <row r="32" spans="1:10" ht="21" customHeight="1">
      <c r="A32" s="5">
        <v>9</v>
      </c>
      <c r="B32" s="6" t="s">
        <v>3</v>
      </c>
      <c r="C32" s="5">
        <v>1</v>
      </c>
      <c r="D32" s="5">
        <f>IF(C32&gt;0,D31+1,"")</f>
        <v>9</v>
      </c>
      <c r="E32" s="5">
        <f t="shared" si="2"/>
        <v>9</v>
      </c>
      <c r="F32" s="5">
        <v>1</v>
      </c>
      <c r="G32" s="5"/>
      <c r="H32" s="5" t="s">
        <v>2</v>
      </c>
      <c r="I32" s="5">
        <v>1</v>
      </c>
      <c r="J32" s="97"/>
    </row>
    <row r="35" spans="1:11">
      <c r="A35" s="3" t="s">
        <v>68</v>
      </c>
      <c r="D35" s="1"/>
      <c r="E35" s="1"/>
    </row>
    <row r="36" spans="1:11">
      <c r="A36" t="s">
        <v>67</v>
      </c>
      <c r="B36" s="25" t="s">
        <v>66</v>
      </c>
      <c r="K36" s="1" t="s">
        <v>65</v>
      </c>
    </row>
    <row r="37" spans="1:11">
      <c r="A37" t="s">
        <v>64</v>
      </c>
      <c r="B37" s="25" t="s">
        <v>63</v>
      </c>
      <c r="K37" s="1" t="s">
        <v>62</v>
      </c>
    </row>
    <row r="38" spans="1:11">
      <c r="A38" t="s">
        <v>61</v>
      </c>
      <c r="B38" s="25" t="s">
        <v>60</v>
      </c>
      <c r="K38" s="1" t="s">
        <v>59</v>
      </c>
    </row>
    <row r="39" spans="1:11">
      <c r="A39" t="s">
        <v>58</v>
      </c>
      <c r="B39" s="25" t="s">
        <v>57</v>
      </c>
      <c r="K39" s="1" t="s">
        <v>56</v>
      </c>
    </row>
    <row r="41" spans="1:11">
      <c r="A41" s="4" t="s">
        <v>183</v>
      </c>
    </row>
    <row r="42" spans="1:11">
      <c r="A42" s="3" t="s">
        <v>55</v>
      </c>
      <c r="B42" s="1" t="s">
        <v>45</v>
      </c>
      <c r="K42" s="1" t="s">
        <v>54</v>
      </c>
    </row>
    <row r="43" spans="1:11">
      <c r="A43" s="3">
        <v>0</v>
      </c>
      <c r="B43" s="1" t="s">
        <v>186</v>
      </c>
      <c r="K43" s="20" t="s">
        <v>484</v>
      </c>
    </row>
    <row r="44" spans="1:11">
      <c r="A44" s="3">
        <v>1</v>
      </c>
      <c r="B44" s="1" t="s">
        <v>185</v>
      </c>
      <c r="K44" s="20" t="s">
        <v>484</v>
      </c>
    </row>
    <row r="45" spans="1:11">
      <c r="A45" s="3">
        <v>2</v>
      </c>
      <c r="B45" s="1" t="s">
        <v>187</v>
      </c>
      <c r="K45" s="20" t="s">
        <v>484</v>
      </c>
    </row>
    <row r="46" spans="1:11">
      <c r="A46" s="3">
        <v>3</v>
      </c>
      <c r="B46" s="43" t="s">
        <v>188</v>
      </c>
      <c r="K46" s="20" t="s">
        <v>484</v>
      </c>
    </row>
    <row r="75" spans="1:4">
      <c r="D75" s="1"/>
    </row>
    <row r="76" spans="1:4">
      <c r="A76" s="1"/>
      <c r="D76" s="1"/>
    </row>
    <row r="77" spans="1:4">
      <c r="A77" s="1"/>
      <c r="D77" s="1"/>
    </row>
    <row r="78" spans="1:4">
      <c r="A78" s="1"/>
      <c r="D78" s="1"/>
    </row>
    <row r="79" spans="1:4">
      <c r="A79" s="1"/>
    </row>
  </sheetData>
  <sheetProtection selectLockedCells="1"/>
  <mergeCells count="9">
    <mergeCell ref="J27:J28"/>
    <mergeCell ref="J29:J30"/>
    <mergeCell ref="J31:J32"/>
    <mergeCell ref="J15:J16"/>
    <mergeCell ref="J9:J10"/>
    <mergeCell ref="J11:J12"/>
    <mergeCell ref="J13:J14"/>
    <mergeCell ref="J7:J8"/>
    <mergeCell ref="J25:J26"/>
  </mergeCells>
  <phoneticPr fontId="4" type="noConversion"/>
  <pageMargins left="0.7" right="0.7" top="0.75" bottom="0.75" header="0.3" footer="0.3"/>
  <pageSetup orientation="portrait" horizontalDpi="300" verticalDpi="30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3707F-C9C1-4580-B6C0-0189B3AB5728}">
  <sheetPr codeName="Sheet12"/>
  <dimension ref="A1:N75"/>
  <sheetViews>
    <sheetView topLeftCell="A13" workbookViewId="0">
      <selection activeCell="B42" sqref="B42"/>
    </sheetView>
  </sheetViews>
  <sheetFormatPr defaultRowHeight="15"/>
  <cols>
    <col min="1" max="1" width="9.140625" style="3"/>
    <col min="2" max="2" width="28.85546875" style="1" customWidth="1"/>
    <col min="3" max="3" width="9.140625" style="1"/>
    <col min="4" max="5" width="10" style="3" hidden="1" customWidth="1"/>
    <col min="6" max="7" width="0" style="1" hidden="1" customWidth="1"/>
    <col min="8" max="8" width="11.7109375" style="1" bestFit="1" customWidth="1"/>
    <col min="9" max="9" width="16.85546875" style="1" customWidth="1"/>
    <col min="10" max="10" width="62.42578125" style="1" customWidth="1"/>
    <col min="11" max="16384" width="9.140625" style="1"/>
  </cols>
  <sheetData>
    <row r="1" spans="1:10">
      <c r="A1" s="4" t="s">
        <v>331</v>
      </c>
    </row>
    <row r="2" spans="1:10">
      <c r="A2" s="4" t="s">
        <v>336</v>
      </c>
      <c r="C2" s="1">
        <f>80*1024</f>
        <v>81920</v>
      </c>
      <c r="H2" s="1" t="s">
        <v>337</v>
      </c>
      <c r="I2" s="1">
        <f>C2/64</f>
        <v>1280</v>
      </c>
      <c r="J2" s="1" t="s">
        <v>338</v>
      </c>
    </row>
    <row r="3" spans="1:10">
      <c r="A3" s="17"/>
      <c r="B3" s="18" t="s">
        <v>20</v>
      </c>
      <c r="C3" s="17" t="s">
        <v>133</v>
      </c>
      <c r="D3" s="17" t="s">
        <v>143</v>
      </c>
      <c r="E3" s="17" t="s">
        <v>144</v>
      </c>
      <c r="F3" s="17" t="s">
        <v>19</v>
      </c>
      <c r="G3" s="17" t="s">
        <v>18</v>
      </c>
      <c r="H3" s="17" t="s">
        <v>17</v>
      </c>
      <c r="I3" s="17" t="s">
        <v>141</v>
      </c>
      <c r="J3" s="17" t="s">
        <v>16</v>
      </c>
    </row>
    <row r="4" spans="1:10">
      <c r="A4" s="14"/>
      <c r="B4" s="15" t="s">
        <v>134</v>
      </c>
      <c r="C4" s="14">
        <f>SUM(C5:C12)</f>
        <v>8</v>
      </c>
      <c r="D4" s="14"/>
      <c r="E4" s="14"/>
      <c r="F4" s="14"/>
      <c r="G4" s="14"/>
      <c r="H4" s="14"/>
      <c r="I4" s="14"/>
      <c r="J4" s="15"/>
    </row>
    <row r="5" spans="1:10">
      <c r="A5" s="12">
        <v>0</v>
      </c>
      <c r="B5" s="10" t="s">
        <v>15</v>
      </c>
      <c r="C5" s="12">
        <v>1</v>
      </c>
      <c r="D5" s="12">
        <v>0</v>
      </c>
      <c r="E5" s="12">
        <f t="shared" ref="E5:E12" si="0">IF(C5&gt;0,D5+C5-1,"")</f>
        <v>0</v>
      </c>
      <c r="F5" s="12">
        <v>0</v>
      </c>
      <c r="G5" s="12"/>
      <c r="H5" s="12" t="s">
        <v>2</v>
      </c>
      <c r="I5" s="11" t="s">
        <v>14</v>
      </c>
      <c r="J5" s="10" t="s">
        <v>13</v>
      </c>
    </row>
    <row r="6" spans="1:10">
      <c r="A6" s="7">
        <v>1</v>
      </c>
      <c r="B6" s="10" t="s">
        <v>136</v>
      </c>
      <c r="C6" s="12">
        <v>1</v>
      </c>
      <c r="D6" s="12">
        <f>IF(C7&gt;0,E5+1,"")</f>
        <v>1</v>
      </c>
      <c r="E6" s="7">
        <f t="shared" si="0"/>
        <v>1</v>
      </c>
      <c r="F6" s="12">
        <v>0</v>
      </c>
      <c r="G6" s="12" t="s">
        <v>69</v>
      </c>
      <c r="H6" s="12" t="s">
        <v>2</v>
      </c>
      <c r="I6" s="11">
        <v>1</v>
      </c>
      <c r="J6" s="48" t="s">
        <v>138</v>
      </c>
    </row>
    <row r="7" spans="1:10">
      <c r="A7" s="7">
        <v>2</v>
      </c>
      <c r="B7" s="8" t="s">
        <v>12</v>
      </c>
      <c r="C7" s="7">
        <v>1</v>
      </c>
      <c r="D7" s="7">
        <f>IF(C7&gt;0,E6+1,"")</f>
        <v>2</v>
      </c>
      <c r="E7" s="7">
        <f t="shared" si="0"/>
        <v>2</v>
      </c>
      <c r="F7" s="7">
        <v>0</v>
      </c>
      <c r="G7" s="7"/>
      <c r="H7" s="7" t="s">
        <v>2</v>
      </c>
      <c r="I7" s="9" t="str">
        <f>DEC2HEX(INT(C4/16))</f>
        <v>0</v>
      </c>
      <c r="J7" s="75" t="s">
        <v>11</v>
      </c>
    </row>
    <row r="8" spans="1:10">
      <c r="A8" s="7">
        <v>3</v>
      </c>
      <c r="B8" s="8" t="s">
        <v>10</v>
      </c>
      <c r="C8" s="7">
        <v>1</v>
      </c>
      <c r="D8" s="7">
        <f t="shared" ref="D8:D12" si="1">IF(C8&gt;0,E7+1,"")</f>
        <v>3</v>
      </c>
      <c r="E8" s="7">
        <f t="shared" si="0"/>
        <v>3</v>
      </c>
      <c r="F8" s="7">
        <v>8</v>
      </c>
      <c r="G8" s="7"/>
      <c r="H8" s="7" t="s">
        <v>2</v>
      </c>
      <c r="I8" s="9" t="str">
        <f>DEC2HEX(MOD(C4,16))</f>
        <v>8</v>
      </c>
      <c r="J8" s="76"/>
    </row>
    <row r="9" spans="1:10">
      <c r="A9" s="7">
        <v>4</v>
      </c>
      <c r="B9" s="8" t="s">
        <v>9</v>
      </c>
      <c r="C9" s="7">
        <v>1</v>
      </c>
      <c r="D9" s="7">
        <f t="shared" si="1"/>
        <v>4</v>
      </c>
      <c r="E9" s="7">
        <f t="shared" si="0"/>
        <v>4</v>
      </c>
      <c r="F9" s="7">
        <v>0</v>
      </c>
      <c r="G9" s="7"/>
      <c r="H9" s="7" t="s">
        <v>2</v>
      </c>
      <c r="I9" s="7">
        <v>3</v>
      </c>
      <c r="J9" s="73" t="s">
        <v>464</v>
      </c>
    </row>
    <row r="10" spans="1:10">
      <c r="A10" s="7">
        <v>5</v>
      </c>
      <c r="B10" s="8" t="s">
        <v>8</v>
      </c>
      <c r="C10" s="7">
        <v>1</v>
      </c>
      <c r="D10" s="7">
        <f t="shared" si="1"/>
        <v>5</v>
      </c>
      <c r="E10" s="7">
        <f t="shared" si="0"/>
        <v>5</v>
      </c>
      <c r="F10" s="7">
        <v>0</v>
      </c>
      <c r="G10" s="7"/>
      <c r="H10" s="7" t="s">
        <v>2</v>
      </c>
      <c r="I10" s="7">
        <v>8</v>
      </c>
      <c r="J10" s="74"/>
    </row>
    <row r="11" spans="1:10">
      <c r="A11" s="7">
        <v>6</v>
      </c>
      <c r="B11" s="8" t="s">
        <v>7</v>
      </c>
      <c r="C11" s="7">
        <v>1</v>
      </c>
      <c r="D11" s="7">
        <f t="shared" si="1"/>
        <v>6</v>
      </c>
      <c r="E11" s="7">
        <f t="shared" si="0"/>
        <v>6</v>
      </c>
      <c r="F11" s="7">
        <v>0</v>
      </c>
      <c r="G11" s="7"/>
      <c r="H11" s="7" t="s">
        <v>2</v>
      </c>
      <c r="I11" s="7" t="s">
        <v>49</v>
      </c>
      <c r="J11" s="75" t="s">
        <v>6</v>
      </c>
    </row>
    <row r="12" spans="1:10">
      <c r="A12" s="5">
        <v>7</v>
      </c>
      <c r="B12" s="6" t="s">
        <v>5</v>
      </c>
      <c r="C12" s="5">
        <v>1</v>
      </c>
      <c r="D12" s="5">
        <f t="shared" si="1"/>
        <v>7</v>
      </c>
      <c r="E12" s="5">
        <f t="shared" si="0"/>
        <v>7</v>
      </c>
      <c r="F12" s="5">
        <v>0</v>
      </c>
      <c r="G12" s="5"/>
      <c r="H12" s="5" t="s">
        <v>2</v>
      </c>
      <c r="I12" s="5">
        <v>8</v>
      </c>
      <c r="J12" s="93"/>
    </row>
    <row r="13" spans="1:10">
      <c r="C13" s="3"/>
      <c r="H13" s="3"/>
      <c r="I13" s="3"/>
    </row>
    <row r="14" spans="1:10">
      <c r="A14" s="4" t="s">
        <v>70</v>
      </c>
      <c r="B14" s="4"/>
      <c r="C14" s="3"/>
      <c r="H14" s="3"/>
      <c r="I14" s="3"/>
    </row>
    <row r="15" spans="1:10">
      <c r="A15" s="4"/>
      <c r="D15" s="1"/>
      <c r="E15" s="1"/>
      <c r="J15" s="2"/>
    </row>
    <row r="16" spans="1:10">
      <c r="A16" s="17"/>
      <c r="B16" s="18" t="s">
        <v>20</v>
      </c>
      <c r="C16" s="17" t="s">
        <v>133</v>
      </c>
      <c r="D16" s="17" t="s">
        <v>143</v>
      </c>
      <c r="E16" s="17" t="s">
        <v>144</v>
      </c>
      <c r="F16" s="17" t="s">
        <v>19</v>
      </c>
      <c r="G16" s="17" t="s">
        <v>18</v>
      </c>
      <c r="H16" s="17" t="s">
        <v>17</v>
      </c>
      <c r="I16" s="17" t="s">
        <v>141</v>
      </c>
      <c r="J16" s="17" t="s">
        <v>16</v>
      </c>
    </row>
    <row r="17" spans="1:10">
      <c r="A17" s="14"/>
      <c r="B17" s="15" t="s">
        <v>134</v>
      </c>
      <c r="C17" s="14">
        <f>SUM(C18:C35)</f>
        <v>18</v>
      </c>
      <c r="D17" s="14"/>
      <c r="E17" s="14"/>
      <c r="F17" s="14"/>
      <c r="G17" s="14"/>
      <c r="H17" s="14"/>
      <c r="I17" s="14"/>
      <c r="J17" s="13"/>
    </row>
    <row r="18" spans="1:10">
      <c r="A18" s="12">
        <v>0</v>
      </c>
      <c r="B18" s="10" t="s">
        <v>15</v>
      </c>
      <c r="C18" s="12">
        <v>1</v>
      </c>
      <c r="D18" s="12">
        <v>0</v>
      </c>
      <c r="E18" s="12">
        <f t="shared" ref="E18:E27" si="2">IF(C18&gt;0,D18+C18-1,"")</f>
        <v>0</v>
      </c>
      <c r="F18" s="12">
        <v>0</v>
      </c>
      <c r="G18" s="12"/>
      <c r="H18" s="12" t="s">
        <v>2</v>
      </c>
      <c r="I18" s="11" t="s">
        <v>14</v>
      </c>
      <c r="J18" s="10" t="s">
        <v>13</v>
      </c>
    </row>
    <row r="19" spans="1:10">
      <c r="A19" s="7">
        <v>1</v>
      </c>
      <c r="B19" s="10" t="s">
        <v>136</v>
      </c>
      <c r="C19" s="12">
        <v>1</v>
      </c>
      <c r="D19" s="12">
        <f>IF(C20&gt;0,E18+1,"")</f>
        <v>1</v>
      </c>
      <c r="E19" s="7">
        <f t="shared" si="2"/>
        <v>1</v>
      </c>
      <c r="F19" s="12">
        <v>0</v>
      </c>
      <c r="G19" s="12" t="s">
        <v>69</v>
      </c>
      <c r="H19" s="12" t="s">
        <v>2</v>
      </c>
      <c r="I19" s="11">
        <v>1</v>
      </c>
      <c r="J19" s="48" t="s">
        <v>138</v>
      </c>
    </row>
    <row r="20" spans="1:10">
      <c r="A20" s="7">
        <v>2</v>
      </c>
      <c r="B20" s="8" t="s">
        <v>12</v>
      </c>
      <c r="C20" s="7">
        <v>1</v>
      </c>
      <c r="D20" s="7">
        <f t="shared" ref="D20:D25" si="3">IF(C20&gt;0,E19+1,"")</f>
        <v>2</v>
      </c>
      <c r="E20" s="7">
        <f t="shared" si="2"/>
        <v>2</v>
      </c>
      <c r="F20" s="7">
        <v>0</v>
      </c>
      <c r="G20" s="7"/>
      <c r="H20" s="7" t="s">
        <v>2</v>
      </c>
      <c r="I20" s="9" t="str">
        <f>DEC2HEX(INT(C17/16),1)</f>
        <v>1</v>
      </c>
      <c r="J20" s="75" t="s">
        <v>11</v>
      </c>
    </row>
    <row r="21" spans="1:10">
      <c r="A21" s="7">
        <v>3</v>
      </c>
      <c r="B21" s="8" t="s">
        <v>10</v>
      </c>
      <c r="C21" s="7">
        <v>1</v>
      </c>
      <c r="D21" s="7">
        <f t="shared" si="3"/>
        <v>3</v>
      </c>
      <c r="E21" s="7">
        <f t="shared" si="2"/>
        <v>3</v>
      </c>
      <c r="F21" s="7">
        <v>8</v>
      </c>
      <c r="G21" s="7"/>
      <c r="H21" s="7" t="s">
        <v>2</v>
      </c>
      <c r="I21" s="9" t="str">
        <f>DEC2HEX(MOD(C17,16),1)</f>
        <v>2</v>
      </c>
      <c r="J21" s="76"/>
    </row>
    <row r="22" spans="1:10">
      <c r="A22" s="7">
        <v>4</v>
      </c>
      <c r="B22" s="8" t="s">
        <v>9</v>
      </c>
      <c r="C22" s="7">
        <v>1</v>
      </c>
      <c r="D22" s="7">
        <f t="shared" si="3"/>
        <v>4</v>
      </c>
      <c r="E22" s="7">
        <f t="shared" si="2"/>
        <v>4</v>
      </c>
      <c r="F22" s="7">
        <v>0</v>
      </c>
      <c r="G22" s="7"/>
      <c r="H22" s="7" t="s">
        <v>2</v>
      </c>
      <c r="I22" s="7">
        <v>3</v>
      </c>
      <c r="J22" s="73" t="s">
        <v>375</v>
      </c>
    </row>
    <row r="23" spans="1:10">
      <c r="A23" s="7">
        <v>5</v>
      </c>
      <c r="B23" s="8" t="s">
        <v>8</v>
      </c>
      <c r="C23" s="7">
        <v>1</v>
      </c>
      <c r="D23" s="7">
        <f t="shared" si="3"/>
        <v>5</v>
      </c>
      <c r="E23" s="7">
        <f t="shared" si="2"/>
        <v>5</v>
      </c>
      <c r="F23" s="7">
        <v>0</v>
      </c>
      <c r="G23" s="7"/>
      <c r="H23" s="7" t="s">
        <v>2</v>
      </c>
      <c r="I23" s="7">
        <v>8</v>
      </c>
      <c r="J23" s="74"/>
    </row>
    <row r="24" spans="1:10">
      <c r="A24" s="7">
        <v>6</v>
      </c>
      <c r="B24" s="8" t="s">
        <v>7</v>
      </c>
      <c r="C24" s="7">
        <v>1</v>
      </c>
      <c r="D24" s="7">
        <f t="shared" si="3"/>
        <v>6</v>
      </c>
      <c r="E24" s="7">
        <f t="shared" si="2"/>
        <v>6</v>
      </c>
      <c r="F24" s="7">
        <v>0</v>
      </c>
      <c r="G24" s="7"/>
      <c r="H24" s="7" t="s">
        <v>2</v>
      </c>
      <c r="I24" s="7" t="s">
        <v>69</v>
      </c>
      <c r="J24" s="75" t="s">
        <v>6</v>
      </c>
    </row>
    <row r="25" spans="1:10" ht="14.25" customHeight="1">
      <c r="A25" s="7">
        <v>7</v>
      </c>
      <c r="B25" s="8" t="s">
        <v>5</v>
      </c>
      <c r="C25" s="7">
        <v>1</v>
      </c>
      <c r="D25" s="7">
        <f t="shared" si="3"/>
        <v>7</v>
      </c>
      <c r="E25" s="7">
        <f t="shared" si="2"/>
        <v>7</v>
      </c>
      <c r="F25" s="7">
        <v>0</v>
      </c>
      <c r="G25" s="7"/>
      <c r="H25" s="7" t="s">
        <v>2</v>
      </c>
      <c r="I25" s="7" t="s">
        <v>69</v>
      </c>
      <c r="J25" s="76"/>
    </row>
    <row r="26" spans="1:10" ht="21" customHeight="1">
      <c r="A26" s="7">
        <v>8</v>
      </c>
      <c r="B26" s="8" t="s">
        <v>349</v>
      </c>
      <c r="C26" s="7">
        <v>1</v>
      </c>
      <c r="D26" s="7">
        <f>IF(C26&gt;0,D25+1,"")</f>
        <v>8</v>
      </c>
      <c r="E26" s="7">
        <f t="shared" si="2"/>
        <v>8</v>
      </c>
      <c r="F26" s="7">
        <v>1</v>
      </c>
      <c r="G26" s="7"/>
      <c r="H26" s="7" t="s">
        <v>2</v>
      </c>
      <c r="I26" s="7">
        <v>0</v>
      </c>
      <c r="J26" s="78" t="s">
        <v>153</v>
      </c>
    </row>
    <row r="27" spans="1:10" ht="21" customHeight="1">
      <c r="A27" s="7">
        <v>9</v>
      </c>
      <c r="B27" s="8" t="s">
        <v>350</v>
      </c>
      <c r="C27" s="7">
        <v>1</v>
      </c>
      <c r="D27" s="7">
        <f>IF(C27&gt;0,D26+1,"")</f>
        <v>9</v>
      </c>
      <c r="E27" s="7">
        <f t="shared" si="2"/>
        <v>9</v>
      </c>
      <c r="F27" s="7">
        <v>1</v>
      </c>
      <c r="G27" s="7"/>
      <c r="H27" s="7" t="s">
        <v>2</v>
      </c>
      <c r="I27" s="7">
        <v>1</v>
      </c>
      <c r="J27" s="79"/>
    </row>
    <row r="28" spans="1:10">
      <c r="A28" s="7">
        <v>10</v>
      </c>
      <c r="B28" s="8" t="s">
        <v>469</v>
      </c>
      <c r="C28" s="7">
        <v>1</v>
      </c>
      <c r="D28" s="7" t="e">
        <f>IF(C28&gt;0,#REF!+1,"")</f>
        <v>#REF!</v>
      </c>
      <c r="E28" s="7" t="e">
        <f t="shared" ref="E28:E35" si="4">IF(C28&gt;0,D28+C28-1,"")</f>
        <v>#REF!</v>
      </c>
      <c r="F28" s="7">
        <v>0</v>
      </c>
      <c r="G28" s="7"/>
      <c r="H28" s="7" t="s">
        <v>2</v>
      </c>
      <c r="I28" s="7">
        <v>0</v>
      </c>
      <c r="J28" s="75" t="s">
        <v>472</v>
      </c>
    </row>
    <row r="29" spans="1:10">
      <c r="A29" s="7">
        <v>11</v>
      </c>
      <c r="B29" s="8" t="s">
        <v>470</v>
      </c>
      <c r="C29" s="7">
        <v>1</v>
      </c>
      <c r="D29" s="7" t="e">
        <f>IF(C29&gt;0,E34+1,"")</f>
        <v>#REF!</v>
      </c>
      <c r="E29" s="7" t="e">
        <f t="shared" si="4"/>
        <v>#REF!</v>
      </c>
      <c r="F29" s="7">
        <v>0</v>
      </c>
      <c r="G29" s="7"/>
      <c r="H29" s="7" t="s">
        <v>2</v>
      </c>
      <c r="I29" s="7">
        <v>0</v>
      </c>
      <c r="J29" s="96"/>
    </row>
    <row r="30" spans="1:10">
      <c r="A30" s="7">
        <v>12</v>
      </c>
      <c r="B30" s="8" t="s">
        <v>470</v>
      </c>
      <c r="C30" s="7">
        <v>1</v>
      </c>
      <c r="D30" s="7" t="e">
        <f>IF(C30&gt;0,E35+1,"")</f>
        <v>#REF!</v>
      </c>
      <c r="E30" s="7" t="e">
        <f t="shared" si="4"/>
        <v>#REF!</v>
      </c>
      <c r="F30" s="7">
        <v>0</v>
      </c>
      <c r="G30" s="7"/>
      <c r="H30" s="7" t="s">
        <v>2</v>
      </c>
      <c r="I30" s="7">
        <v>0</v>
      </c>
      <c r="J30" s="96"/>
    </row>
    <row r="31" spans="1:10">
      <c r="A31" s="7">
        <v>13</v>
      </c>
      <c r="B31" s="8" t="s">
        <v>471</v>
      </c>
      <c r="C31" s="7">
        <v>1</v>
      </c>
      <c r="D31" s="7" t="e">
        <f t="shared" ref="D31" si="5">IF(C31&gt;0,E29+1,"")</f>
        <v>#REF!</v>
      </c>
      <c r="E31" s="7" t="e">
        <f t="shared" si="4"/>
        <v>#REF!</v>
      </c>
      <c r="F31" s="7">
        <v>0</v>
      </c>
      <c r="G31" s="7"/>
      <c r="H31" s="7" t="s">
        <v>2</v>
      </c>
      <c r="I31" s="7">
        <v>0</v>
      </c>
      <c r="J31" s="77"/>
    </row>
    <row r="32" spans="1:10">
      <c r="A32" s="7">
        <v>14</v>
      </c>
      <c r="B32" s="8" t="s">
        <v>473</v>
      </c>
      <c r="C32" s="7">
        <v>1</v>
      </c>
      <c r="D32" s="7" t="e">
        <f>IF(C32&gt;0,#REF!+1,"")</f>
        <v>#REF!</v>
      </c>
      <c r="E32" s="7" t="e">
        <f t="shared" si="4"/>
        <v>#REF!</v>
      </c>
      <c r="F32" s="7">
        <v>0</v>
      </c>
      <c r="G32" s="7"/>
      <c r="H32" s="7" t="s">
        <v>2</v>
      </c>
      <c r="I32" s="7">
        <v>0</v>
      </c>
      <c r="J32" s="75" t="s">
        <v>476</v>
      </c>
    </row>
    <row r="33" spans="1:11">
      <c r="A33" s="7">
        <v>15</v>
      </c>
      <c r="B33" s="8" t="s">
        <v>474</v>
      </c>
      <c r="C33" s="7">
        <v>1</v>
      </c>
      <c r="D33" s="7" t="e">
        <f>IF(C33&gt;0,#REF!+1,"")</f>
        <v>#REF!</v>
      </c>
      <c r="E33" s="7" t="e">
        <f t="shared" si="4"/>
        <v>#REF!</v>
      </c>
      <c r="F33" s="7">
        <v>0</v>
      </c>
      <c r="G33" s="7"/>
      <c r="H33" s="7" t="s">
        <v>2</v>
      </c>
      <c r="I33" s="7">
        <v>0</v>
      </c>
      <c r="J33" s="96"/>
    </row>
    <row r="34" spans="1:11">
      <c r="A34" s="7">
        <v>16</v>
      </c>
      <c r="B34" s="8" t="s">
        <v>474</v>
      </c>
      <c r="C34" s="7">
        <v>1</v>
      </c>
      <c r="D34" s="7" t="e">
        <f>IF(C34&gt;0,#REF!+1,"")</f>
        <v>#REF!</v>
      </c>
      <c r="E34" s="7" t="e">
        <f t="shared" si="4"/>
        <v>#REF!</v>
      </c>
      <c r="F34" s="7">
        <v>0</v>
      </c>
      <c r="G34" s="7"/>
      <c r="H34" s="7" t="s">
        <v>2</v>
      </c>
      <c r="I34" s="7">
        <v>0</v>
      </c>
      <c r="J34" s="96"/>
    </row>
    <row r="35" spans="1:11">
      <c r="A35" s="5">
        <v>17</v>
      </c>
      <c r="B35" s="6" t="s">
        <v>475</v>
      </c>
      <c r="C35" s="5">
        <v>1</v>
      </c>
      <c r="D35" s="5" t="e">
        <f t="shared" ref="D35" si="6">IF(C35&gt;0,E33+1,"")</f>
        <v>#REF!</v>
      </c>
      <c r="E35" s="5" t="e">
        <f t="shared" si="4"/>
        <v>#REF!</v>
      </c>
      <c r="F35" s="5">
        <v>0</v>
      </c>
      <c r="G35" s="5"/>
      <c r="H35" s="5" t="s">
        <v>2</v>
      </c>
      <c r="I35" s="5">
        <v>0</v>
      </c>
      <c r="J35" s="95"/>
    </row>
    <row r="37" spans="1:11">
      <c r="A37" s="4"/>
    </row>
    <row r="39" spans="1:11">
      <c r="K39" s="20"/>
    </row>
    <row r="40" spans="1:11">
      <c r="K40" s="20"/>
    </row>
    <row r="41" spans="1:11">
      <c r="K41" s="20"/>
    </row>
    <row r="42" spans="1:11">
      <c r="B42" s="43"/>
      <c r="K42" s="20"/>
    </row>
    <row r="71" spans="1:14" s="3" customFormat="1">
      <c r="B71" s="1"/>
      <c r="C71" s="1"/>
      <c r="D71" s="1"/>
      <c r="F71" s="1"/>
      <c r="G71" s="1"/>
      <c r="H71" s="1"/>
      <c r="I71" s="1"/>
      <c r="J71" s="1"/>
      <c r="K71" s="1"/>
      <c r="L71" s="1"/>
      <c r="M71" s="1"/>
      <c r="N71" s="1"/>
    </row>
    <row r="72" spans="1:14" s="3" customFormat="1">
      <c r="A72" s="1"/>
      <c r="B72" s="1"/>
      <c r="C72" s="1"/>
      <c r="D72" s="1"/>
      <c r="F72" s="1"/>
      <c r="G72" s="1"/>
      <c r="H72" s="1"/>
      <c r="I72" s="1"/>
      <c r="J72" s="1"/>
      <c r="K72" s="1"/>
      <c r="L72" s="1"/>
      <c r="M72" s="1"/>
      <c r="N72" s="1"/>
    </row>
    <row r="73" spans="1:14" s="3" customFormat="1">
      <c r="A73" s="1"/>
      <c r="B73" s="1"/>
      <c r="C73" s="1"/>
      <c r="D73" s="1"/>
      <c r="F73" s="1"/>
      <c r="G73" s="1"/>
      <c r="H73" s="1"/>
      <c r="I73" s="1"/>
      <c r="J73" s="1"/>
      <c r="K73" s="1"/>
      <c r="L73" s="1"/>
      <c r="M73" s="1"/>
      <c r="N73" s="1"/>
    </row>
    <row r="74" spans="1:14" s="3" customFormat="1">
      <c r="A74" s="1"/>
      <c r="B74" s="1"/>
      <c r="C74" s="1"/>
      <c r="D74" s="1"/>
      <c r="F74" s="1"/>
      <c r="G74" s="1"/>
      <c r="H74" s="1"/>
      <c r="I74" s="1"/>
      <c r="J74" s="1"/>
      <c r="K74" s="1"/>
      <c r="L74" s="1"/>
      <c r="M74" s="1"/>
      <c r="N74" s="1"/>
    </row>
    <row r="75" spans="1:14">
      <c r="A75" s="1"/>
    </row>
  </sheetData>
  <sheetProtection selectLockedCells="1"/>
  <mergeCells count="9">
    <mergeCell ref="J32:J35"/>
    <mergeCell ref="J7:J8"/>
    <mergeCell ref="J9:J10"/>
    <mergeCell ref="J11:J12"/>
    <mergeCell ref="J20:J21"/>
    <mergeCell ref="J22:J23"/>
    <mergeCell ref="J24:J25"/>
    <mergeCell ref="J26:J27"/>
    <mergeCell ref="J28:J31"/>
  </mergeCells>
  <pageMargins left="0.7" right="0.7" top="0.75" bottom="0.75" header="0.3" footer="0.3"/>
  <pageSetup orientation="portrait" horizontalDpi="300" verticalDpi="30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0E03F-9E77-40D9-ACC4-7FE815F2BF51}">
  <sheetPr codeName="Sheet13"/>
  <dimension ref="A1:N73"/>
  <sheetViews>
    <sheetView workbookViewId="0">
      <selection activeCell="B24" sqref="B24"/>
    </sheetView>
  </sheetViews>
  <sheetFormatPr defaultRowHeight="15"/>
  <cols>
    <col min="1" max="1" width="9.140625" style="3"/>
    <col min="2" max="2" width="28.85546875" style="1" customWidth="1"/>
    <col min="3" max="3" width="9.140625" style="1"/>
    <col min="4" max="5" width="10" style="3" hidden="1" customWidth="1"/>
    <col min="6" max="7" width="0" style="1" hidden="1" customWidth="1"/>
    <col min="8" max="8" width="11.7109375" style="1" bestFit="1" customWidth="1"/>
    <col min="9" max="9" width="16.85546875" style="1" customWidth="1"/>
    <col min="10" max="10" width="62.42578125" style="1" customWidth="1"/>
    <col min="11" max="16384" width="9.140625" style="1"/>
  </cols>
  <sheetData>
    <row r="1" spans="1:10">
      <c r="A1" s="4" t="s">
        <v>331</v>
      </c>
    </row>
    <row r="2" spans="1:10">
      <c r="A2" s="4" t="s">
        <v>336</v>
      </c>
      <c r="C2" s="1">
        <f>80*1024</f>
        <v>81920</v>
      </c>
      <c r="H2" s="1" t="s">
        <v>337</v>
      </c>
      <c r="I2" s="1">
        <f>C2/64</f>
        <v>1280</v>
      </c>
      <c r="J2" s="1" t="s">
        <v>338</v>
      </c>
    </row>
    <row r="3" spans="1:10">
      <c r="A3" s="17"/>
      <c r="B3" s="18" t="s">
        <v>20</v>
      </c>
      <c r="C3" s="17" t="s">
        <v>133</v>
      </c>
      <c r="D3" s="17" t="s">
        <v>143</v>
      </c>
      <c r="E3" s="17" t="s">
        <v>144</v>
      </c>
      <c r="F3" s="17" t="s">
        <v>19</v>
      </c>
      <c r="G3" s="17" t="s">
        <v>18</v>
      </c>
      <c r="H3" s="17" t="s">
        <v>17</v>
      </c>
      <c r="I3" s="17" t="s">
        <v>141</v>
      </c>
      <c r="J3" s="17" t="s">
        <v>16</v>
      </c>
    </row>
    <row r="4" spans="1:10">
      <c r="A4" s="14"/>
      <c r="B4" s="15" t="s">
        <v>134</v>
      </c>
      <c r="C4" s="14">
        <f>SUM(C5:C18)</f>
        <v>20</v>
      </c>
      <c r="D4" s="14"/>
      <c r="E4" s="14"/>
      <c r="F4" s="14"/>
      <c r="G4" s="14"/>
      <c r="H4" s="14"/>
      <c r="I4" s="14"/>
      <c r="J4" s="15"/>
    </row>
    <row r="5" spans="1:10">
      <c r="A5" s="12">
        <v>0</v>
      </c>
      <c r="B5" s="10" t="s">
        <v>15</v>
      </c>
      <c r="C5" s="12">
        <v>1</v>
      </c>
      <c r="D5" s="12">
        <v>0</v>
      </c>
      <c r="E5" s="12">
        <f t="shared" ref="E5:E16" si="0">IF(C5&gt;0,D5+C5-1,"")</f>
        <v>0</v>
      </c>
      <c r="F5" s="12">
        <v>0</v>
      </c>
      <c r="G5" s="12"/>
      <c r="H5" s="12" t="s">
        <v>2</v>
      </c>
      <c r="I5" s="11" t="s">
        <v>14</v>
      </c>
      <c r="J5" s="10" t="s">
        <v>13</v>
      </c>
    </row>
    <row r="6" spans="1:10">
      <c r="A6" s="7">
        <v>1</v>
      </c>
      <c r="B6" s="10" t="s">
        <v>136</v>
      </c>
      <c r="C6" s="12">
        <v>1</v>
      </c>
      <c r="D6" s="12">
        <f>IF(C7&gt;0,E5+1,"")</f>
        <v>1</v>
      </c>
      <c r="E6" s="7">
        <f t="shared" si="0"/>
        <v>1</v>
      </c>
      <c r="F6" s="12">
        <v>0</v>
      </c>
      <c r="G6" s="12" t="s">
        <v>69</v>
      </c>
      <c r="H6" s="12" t="s">
        <v>2</v>
      </c>
      <c r="I6" s="11">
        <v>1</v>
      </c>
      <c r="J6" s="48" t="s">
        <v>138</v>
      </c>
    </row>
    <row r="7" spans="1:10">
      <c r="A7" s="7">
        <v>2</v>
      </c>
      <c r="B7" s="8" t="s">
        <v>12</v>
      </c>
      <c r="C7" s="7">
        <v>1</v>
      </c>
      <c r="D7" s="7">
        <f>IF(C7&gt;0,E6+1,"")</f>
        <v>2</v>
      </c>
      <c r="E7" s="7">
        <f t="shared" si="0"/>
        <v>2</v>
      </c>
      <c r="F7" s="7">
        <v>0</v>
      </c>
      <c r="G7" s="7"/>
      <c r="H7" s="7" t="s">
        <v>2</v>
      </c>
      <c r="I7" s="9" t="str">
        <f>DEC2HEX(INT(C4/16))</f>
        <v>1</v>
      </c>
      <c r="J7" s="75" t="s">
        <v>11</v>
      </c>
    </row>
    <row r="8" spans="1:10">
      <c r="A8" s="7">
        <v>3</v>
      </c>
      <c r="B8" s="8" t="s">
        <v>10</v>
      </c>
      <c r="C8" s="7">
        <v>1</v>
      </c>
      <c r="D8" s="7">
        <f t="shared" ref="D8:D16" si="1">IF(C8&gt;0,E7+1,"")</f>
        <v>3</v>
      </c>
      <c r="E8" s="7">
        <f t="shared" si="0"/>
        <v>3</v>
      </c>
      <c r="F8" s="7">
        <v>8</v>
      </c>
      <c r="G8" s="7"/>
      <c r="H8" s="7" t="s">
        <v>2</v>
      </c>
      <c r="I8" s="9" t="str">
        <f>DEC2HEX(MOD(C4,16))</f>
        <v>4</v>
      </c>
      <c r="J8" s="76"/>
    </row>
    <row r="9" spans="1:10">
      <c r="A9" s="7">
        <v>4</v>
      </c>
      <c r="B9" s="8" t="s">
        <v>9</v>
      </c>
      <c r="C9" s="7">
        <v>1</v>
      </c>
      <c r="D9" s="7">
        <f t="shared" si="1"/>
        <v>4</v>
      </c>
      <c r="E9" s="7">
        <f t="shared" si="0"/>
        <v>4</v>
      </c>
      <c r="F9" s="7">
        <v>0</v>
      </c>
      <c r="G9" s="7"/>
      <c r="H9" s="7" t="s">
        <v>2</v>
      </c>
      <c r="I9" s="7">
        <v>3</v>
      </c>
      <c r="J9" s="73" t="s">
        <v>464</v>
      </c>
    </row>
    <row r="10" spans="1:10">
      <c r="A10" s="7">
        <v>5</v>
      </c>
      <c r="B10" s="8" t="s">
        <v>8</v>
      </c>
      <c r="C10" s="7">
        <v>1</v>
      </c>
      <c r="D10" s="7">
        <f t="shared" si="1"/>
        <v>5</v>
      </c>
      <c r="E10" s="7">
        <f t="shared" si="0"/>
        <v>5</v>
      </c>
      <c r="F10" s="7">
        <v>0</v>
      </c>
      <c r="G10" s="7"/>
      <c r="H10" s="7" t="s">
        <v>2</v>
      </c>
      <c r="I10" s="7">
        <v>9</v>
      </c>
      <c r="J10" s="74"/>
    </row>
    <row r="11" spans="1:10">
      <c r="A11" s="7">
        <v>6</v>
      </c>
      <c r="B11" s="8" t="s">
        <v>7</v>
      </c>
      <c r="C11" s="7">
        <v>1</v>
      </c>
      <c r="D11" s="7">
        <f t="shared" si="1"/>
        <v>6</v>
      </c>
      <c r="E11" s="7">
        <f t="shared" si="0"/>
        <v>6</v>
      </c>
      <c r="F11" s="7">
        <v>0</v>
      </c>
      <c r="G11" s="7"/>
      <c r="H11" s="7" t="s">
        <v>2</v>
      </c>
      <c r="I11" s="7" t="s">
        <v>49</v>
      </c>
      <c r="J11" s="98" t="s">
        <v>6</v>
      </c>
    </row>
    <row r="12" spans="1:10">
      <c r="A12" s="7">
        <v>7</v>
      </c>
      <c r="B12" s="8" t="s">
        <v>5</v>
      </c>
      <c r="C12" s="7">
        <v>1</v>
      </c>
      <c r="D12" s="7">
        <f t="shared" si="1"/>
        <v>7</v>
      </c>
      <c r="E12" s="7">
        <f t="shared" si="0"/>
        <v>7</v>
      </c>
      <c r="F12" s="7">
        <v>0</v>
      </c>
      <c r="G12" s="7"/>
      <c r="H12" s="7" t="s">
        <v>2</v>
      </c>
      <c r="I12" s="7">
        <v>8</v>
      </c>
      <c r="J12" s="99"/>
    </row>
    <row r="13" spans="1:10">
      <c r="A13" s="7">
        <v>8</v>
      </c>
      <c r="B13" s="8" t="s">
        <v>29</v>
      </c>
      <c r="C13" s="7">
        <v>1</v>
      </c>
      <c r="D13" s="7">
        <f t="shared" si="1"/>
        <v>8</v>
      </c>
      <c r="E13" s="7">
        <f t="shared" si="0"/>
        <v>8</v>
      </c>
      <c r="F13" s="7">
        <v>0</v>
      </c>
      <c r="G13" s="7"/>
      <c r="H13" s="7" t="s">
        <v>0</v>
      </c>
      <c r="I13" s="7">
        <v>0</v>
      </c>
      <c r="J13" s="75" t="s">
        <v>28</v>
      </c>
    </row>
    <row r="14" spans="1:10">
      <c r="A14" s="7">
        <v>9</v>
      </c>
      <c r="B14" s="8" t="s">
        <v>27</v>
      </c>
      <c r="C14" s="7">
        <v>1</v>
      </c>
      <c r="D14" s="7">
        <f t="shared" si="1"/>
        <v>9</v>
      </c>
      <c r="E14" s="7">
        <f t="shared" si="0"/>
        <v>9</v>
      </c>
      <c r="F14" s="7">
        <v>0</v>
      </c>
      <c r="G14" s="7"/>
      <c r="H14" s="7" t="s">
        <v>0</v>
      </c>
      <c r="I14" s="7">
        <v>1</v>
      </c>
      <c r="J14" s="77"/>
    </row>
    <row r="15" spans="1:10">
      <c r="A15" s="7">
        <v>10</v>
      </c>
      <c r="B15" s="8" t="s">
        <v>26</v>
      </c>
      <c r="C15" s="7">
        <v>1</v>
      </c>
      <c r="D15" s="7">
        <f t="shared" si="1"/>
        <v>10</v>
      </c>
      <c r="E15" s="7">
        <f t="shared" si="0"/>
        <v>10</v>
      </c>
      <c r="F15" s="7">
        <v>0</v>
      </c>
      <c r="G15" s="7"/>
      <c r="H15" s="7" t="s">
        <v>0</v>
      </c>
      <c r="I15" s="7">
        <v>0</v>
      </c>
      <c r="J15" s="75" t="s">
        <v>25</v>
      </c>
    </row>
    <row r="16" spans="1:10">
      <c r="A16" s="47">
        <v>11</v>
      </c>
      <c r="B16" s="8" t="s">
        <v>24</v>
      </c>
      <c r="C16" s="7">
        <v>1</v>
      </c>
      <c r="D16" s="7">
        <f t="shared" si="1"/>
        <v>11</v>
      </c>
      <c r="E16" s="7">
        <f t="shared" si="0"/>
        <v>11</v>
      </c>
      <c r="F16" s="7">
        <v>0</v>
      </c>
      <c r="G16" s="7"/>
      <c r="H16" s="7" t="s">
        <v>0</v>
      </c>
      <c r="I16" s="7">
        <v>0</v>
      </c>
      <c r="J16" s="77"/>
    </row>
    <row r="17" spans="1:10">
      <c r="A17" s="7">
        <v>12</v>
      </c>
      <c r="B17" s="8" t="s">
        <v>469</v>
      </c>
      <c r="C17" s="7">
        <v>4</v>
      </c>
      <c r="D17" s="7" t="e">
        <f>IF(C17&gt;0,#REF!+1,"")</f>
        <v>#REF!</v>
      </c>
      <c r="E17" s="7" t="e">
        <f t="shared" ref="E17:E18" si="2">IF(C17&gt;0,D17+C17-1,"")</f>
        <v>#REF!</v>
      </c>
      <c r="F17" s="7">
        <v>0</v>
      </c>
      <c r="G17" s="7"/>
      <c r="H17" s="7" t="s">
        <v>2</v>
      </c>
      <c r="I17" s="7">
        <v>0</v>
      </c>
      <c r="J17" s="8" t="s">
        <v>472</v>
      </c>
    </row>
    <row r="18" spans="1:10">
      <c r="A18" s="5">
        <v>16</v>
      </c>
      <c r="B18" s="6" t="s">
        <v>473</v>
      </c>
      <c r="C18" s="5">
        <v>4</v>
      </c>
      <c r="D18" s="5" t="e">
        <f>IF(C18&gt;0,#REF!+1,"")</f>
        <v>#REF!</v>
      </c>
      <c r="E18" s="5" t="e">
        <f t="shared" si="2"/>
        <v>#REF!</v>
      </c>
      <c r="F18" s="5">
        <v>0</v>
      </c>
      <c r="G18" s="5"/>
      <c r="H18" s="5" t="s">
        <v>2</v>
      </c>
      <c r="I18" s="5">
        <v>0</v>
      </c>
      <c r="J18" s="6" t="s">
        <v>476</v>
      </c>
    </row>
    <row r="19" spans="1:10">
      <c r="C19" s="3"/>
      <c r="H19" s="3"/>
      <c r="I19" s="3"/>
    </row>
    <row r="20" spans="1:10">
      <c r="A20" s="4" t="s">
        <v>70</v>
      </c>
      <c r="B20" s="4"/>
      <c r="C20" s="3"/>
      <c r="H20" s="3"/>
      <c r="I20" s="3"/>
    </row>
    <row r="21" spans="1:10">
      <c r="A21" s="4"/>
      <c r="D21" s="1"/>
      <c r="E21" s="1"/>
      <c r="J21" s="2"/>
    </row>
    <row r="22" spans="1:10">
      <c r="A22" s="17"/>
      <c r="B22" s="18" t="s">
        <v>20</v>
      </c>
      <c r="C22" s="17" t="s">
        <v>133</v>
      </c>
      <c r="D22" s="17" t="s">
        <v>143</v>
      </c>
      <c r="E22" s="17" t="s">
        <v>144</v>
      </c>
      <c r="F22" s="17" t="s">
        <v>19</v>
      </c>
      <c r="G22" s="17" t="s">
        <v>18</v>
      </c>
      <c r="H22" s="17" t="s">
        <v>17</v>
      </c>
      <c r="I22" s="17" t="s">
        <v>141</v>
      </c>
      <c r="J22" s="17" t="s">
        <v>16</v>
      </c>
    </row>
    <row r="23" spans="1:10">
      <c r="A23" s="14"/>
      <c r="B23" s="15" t="s">
        <v>134</v>
      </c>
      <c r="C23" s="14">
        <f>SUM(C24:C33)</f>
        <v>10</v>
      </c>
      <c r="D23" s="14"/>
      <c r="E23" s="14"/>
      <c r="F23" s="14"/>
      <c r="G23" s="14"/>
      <c r="H23" s="14"/>
      <c r="I23" s="14"/>
      <c r="J23" s="13"/>
    </row>
    <row r="24" spans="1:10">
      <c r="A24" s="12">
        <v>0</v>
      </c>
      <c r="B24" s="10" t="s">
        <v>15</v>
      </c>
      <c r="C24" s="12">
        <v>1</v>
      </c>
      <c r="D24" s="12">
        <v>0</v>
      </c>
      <c r="E24" s="12">
        <f t="shared" ref="E24:E33" si="3">IF(C24&gt;0,D24+C24-1,"")</f>
        <v>0</v>
      </c>
      <c r="F24" s="12">
        <v>0</v>
      </c>
      <c r="G24" s="12"/>
      <c r="H24" s="12" t="s">
        <v>2</v>
      </c>
      <c r="I24" s="11" t="s">
        <v>14</v>
      </c>
      <c r="J24" s="10" t="s">
        <v>13</v>
      </c>
    </row>
    <row r="25" spans="1:10">
      <c r="A25" s="7">
        <v>1</v>
      </c>
      <c r="B25" s="10" t="s">
        <v>136</v>
      </c>
      <c r="C25" s="12">
        <v>1</v>
      </c>
      <c r="D25" s="12">
        <f>IF(C26&gt;0,E24+1,"")</f>
        <v>1</v>
      </c>
      <c r="E25" s="7">
        <f t="shared" si="3"/>
        <v>1</v>
      </c>
      <c r="F25" s="12">
        <v>0</v>
      </c>
      <c r="G25" s="12" t="s">
        <v>69</v>
      </c>
      <c r="H25" s="12" t="s">
        <v>2</v>
      </c>
      <c r="I25" s="11">
        <v>1</v>
      </c>
      <c r="J25" s="48" t="s">
        <v>138</v>
      </c>
    </row>
    <row r="26" spans="1:10">
      <c r="A26" s="7">
        <v>2</v>
      </c>
      <c r="B26" s="8" t="s">
        <v>12</v>
      </c>
      <c r="C26" s="7">
        <v>1</v>
      </c>
      <c r="D26" s="7">
        <f t="shared" ref="D26:D31" si="4">IF(C26&gt;0,E25+1,"")</f>
        <v>2</v>
      </c>
      <c r="E26" s="7">
        <f t="shared" si="3"/>
        <v>2</v>
      </c>
      <c r="F26" s="7">
        <v>0</v>
      </c>
      <c r="G26" s="7"/>
      <c r="H26" s="7" t="s">
        <v>2</v>
      </c>
      <c r="I26" s="9" t="str">
        <f>DEC2HEX(INT(C23/16),1)</f>
        <v>0</v>
      </c>
      <c r="J26" s="75" t="s">
        <v>11</v>
      </c>
    </row>
    <row r="27" spans="1:10">
      <c r="A27" s="7">
        <v>3</v>
      </c>
      <c r="B27" s="8" t="s">
        <v>10</v>
      </c>
      <c r="C27" s="7">
        <v>1</v>
      </c>
      <c r="D27" s="7">
        <f t="shared" si="4"/>
        <v>3</v>
      </c>
      <c r="E27" s="7">
        <f t="shared" si="3"/>
        <v>3</v>
      </c>
      <c r="F27" s="7">
        <v>8</v>
      </c>
      <c r="G27" s="7"/>
      <c r="H27" s="7" t="s">
        <v>2</v>
      </c>
      <c r="I27" s="9" t="str">
        <f>DEC2HEX(MOD(C23,16),1)</f>
        <v>A</v>
      </c>
      <c r="J27" s="76"/>
    </row>
    <row r="28" spans="1:10">
      <c r="A28" s="7">
        <v>4</v>
      </c>
      <c r="B28" s="8" t="s">
        <v>9</v>
      </c>
      <c r="C28" s="7">
        <v>1</v>
      </c>
      <c r="D28" s="7">
        <f t="shared" si="4"/>
        <v>4</v>
      </c>
      <c r="E28" s="7">
        <f t="shared" si="3"/>
        <v>4</v>
      </c>
      <c r="F28" s="7">
        <v>0</v>
      </c>
      <c r="G28" s="7"/>
      <c r="H28" s="7" t="s">
        <v>2</v>
      </c>
      <c r="I28" s="7">
        <v>3</v>
      </c>
      <c r="J28" s="73" t="s">
        <v>375</v>
      </c>
    </row>
    <row r="29" spans="1:10">
      <c r="A29" s="7">
        <v>5</v>
      </c>
      <c r="B29" s="8" t="s">
        <v>8</v>
      </c>
      <c r="C29" s="7">
        <v>1</v>
      </c>
      <c r="D29" s="7">
        <f t="shared" si="4"/>
        <v>5</v>
      </c>
      <c r="E29" s="7">
        <f t="shared" si="3"/>
        <v>5</v>
      </c>
      <c r="F29" s="7">
        <v>0</v>
      </c>
      <c r="G29" s="7"/>
      <c r="H29" s="7" t="s">
        <v>2</v>
      </c>
      <c r="I29" s="7">
        <v>9</v>
      </c>
      <c r="J29" s="74"/>
    </row>
    <row r="30" spans="1:10">
      <c r="A30" s="7">
        <v>6</v>
      </c>
      <c r="B30" s="8" t="s">
        <v>7</v>
      </c>
      <c r="C30" s="7">
        <v>1</v>
      </c>
      <c r="D30" s="7">
        <f t="shared" si="4"/>
        <v>6</v>
      </c>
      <c r="E30" s="7">
        <f t="shared" si="3"/>
        <v>6</v>
      </c>
      <c r="F30" s="7">
        <v>0</v>
      </c>
      <c r="G30" s="7"/>
      <c r="H30" s="7" t="s">
        <v>2</v>
      </c>
      <c r="I30" s="7" t="s">
        <v>69</v>
      </c>
      <c r="J30" s="75" t="s">
        <v>6</v>
      </c>
    </row>
    <row r="31" spans="1:10" ht="14.25" customHeight="1">
      <c r="A31" s="7">
        <v>7</v>
      </c>
      <c r="B31" s="8" t="s">
        <v>5</v>
      </c>
      <c r="C31" s="7">
        <v>1</v>
      </c>
      <c r="D31" s="7">
        <f t="shared" si="4"/>
        <v>7</v>
      </c>
      <c r="E31" s="7">
        <f t="shared" si="3"/>
        <v>7</v>
      </c>
      <c r="F31" s="7">
        <v>0</v>
      </c>
      <c r="G31" s="7"/>
      <c r="H31" s="7" t="s">
        <v>2</v>
      </c>
      <c r="I31" s="7" t="s">
        <v>69</v>
      </c>
      <c r="J31" s="76"/>
    </row>
    <row r="32" spans="1:10" ht="21" customHeight="1">
      <c r="A32" s="7">
        <v>8</v>
      </c>
      <c r="B32" s="8" t="s">
        <v>349</v>
      </c>
      <c r="C32" s="7">
        <v>1</v>
      </c>
      <c r="D32" s="7">
        <f>IF(C32&gt;0,D31+1,"")</f>
        <v>8</v>
      </c>
      <c r="E32" s="7">
        <f t="shared" si="3"/>
        <v>8</v>
      </c>
      <c r="F32" s="7">
        <v>1</v>
      </c>
      <c r="G32" s="7"/>
      <c r="H32" s="7" t="s">
        <v>2</v>
      </c>
      <c r="I32" s="7">
        <v>0</v>
      </c>
      <c r="J32" s="78" t="s">
        <v>153</v>
      </c>
    </row>
    <row r="33" spans="1:11" ht="21" customHeight="1">
      <c r="A33" s="5">
        <v>9</v>
      </c>
      <c r="B33" s="6" t="s">
        <v>350</v>
      </c>
      <c r="C33" s="5">
        <v>1</v>
      </c>
      <c r="D33" s="5">
        <f>IF(C33&gt;0,D32+1,"")</f>
        <v>9</v>
      </c>
      <c r="E33" s="5">
        <f t="shared" si="3"/>
        <v>9</v>
      </c>
      <c r="F33" s="5">
        <v>1</v>
      </c>
      <c r="G33" s="5"/>
      <c r="H33" s="5" t="s">
        <v>2</v>
      </c>
      <c r="I33" s="5">
        <v>1</v>
      </c>
      <c r="J33" s="97"/>
    </row>
    <row r="35" spans="1:11">
      <c r="A35" s="4"/>
    </row>
    <row r="37" spans="1:11">
      <c r="K37" s="20"/>
    </row>
    <row r="38" spans="1:11">
      <c r="K38" s="20"/>
    </row>
    <row r="39" spans="1:11">
      <c r="K39" s="20"/>
    </row>
    <row r="40" spans="1:11">
      <c r="B40" s="43"/>
      <c r="K40" s="20"/>
    </row>
    <row r="69" spans="1:14" s="3" customFormat="1">
      <c r="B69" s="1"/>
      <c r="C69" s="1"/>
      <c r="D69" s="1"/>
      <c r="F69" s="1"/>
      <c r="G69" s="1"/>
      <c r="H69" s="1"/>
      <c r="I69" s="1"/>
      <c r="J69" s="1"/>
      <c r="K69" s="1"/>
      <c r="L69" s="1"/>
      <c r="M69" s="1"/>
      <c r="N69" s="1"/>
    </row>
    <row r="70" spans="1:14" s="3" customFormat="1">
      <c r="A70" s="1"/>
      <c r="B70" s="1"/>
      <c r="C70" s="1"/>
      <c r="D70" s="1"/>
      <c r="F70" s="1"/>
      <c r="G70" s="1"/>
      <c r="H70" s="1"/>
      <c r="I70" s="1"/>
      <c r="J70" s="1"/>
      <c r="K70" s="1"/>
      <c r="L70" s="1"/>
      <c r="M70" s="1"/>
      <c r="N70" s="1"/>
    </row>
    <row r="71" spans="1:14" s="3" customFormat="1">
      <c r="A71" s="1"/>
      <c r="B71" s="1"/>
      <c r="C71" s="1"/>
      <c r="D71" s="1"/>
      <c r="F71" s="1"/>
      <c r="G71" s="1"/>
      <c r="H71" s="1"/>
      <c r="I71" s="1"/>
      <c r="J71" s="1"/>
      <c r="K71" s="1"/>
      <c r="L71" s="1"/>
      <c r="M71" s="1"/>
      <c r="N71" s="1"/>
    </row>
    <row r="72" spans="1:14" s="3" customFormat="1">
      <c r="A72" s="1"/>
      <c r="B72" s="1"/>
      <c r="C72" s="1"/>
      <c r="D72" s="1"/>
      <c r="F72" s="1"/>
      <c r="G72" s="1"/>
      <c r="H72" s="1"/>
      <c r="I72" s="1"/>
      <c r="J72" s="1"/>
      <c r="K72" s="1"/>
      <c r="L72" s="1"/>
      <c r="M72" s="1"/>
      <c r="N72" s="1"/>
    </row>
    <row r="73" spans="1:14">
      <c r="A73" s="1"/>
    </row>
  </sheetData>
  <sheetProtection selectLockedCells="1"/>
  <mergeCells count="9">
    <mergeCell ref="J32:J33"/>
    <mergeCell ref="J13:J14"/>
    <mergeCell ref="J15:J16"/>
    <mergeCell ref="J30:J31"/>
    <mergeCell ref="J7:J8"/>
    <mergeCell ref="J9:J10"/>
    <mergeCell ref="J11:J12"/>
    <mergeCell ref="J26:J27"/>
    <mergeCell ref="J28:J29"/>
  </mergeCells>
  <pageMargins left="0.7" right="0.7" top="0.75" bottom="0.75" header="0.3" footer="0.3"/>
  <pageSetup orientation="portrait" horizontalDpi="300" verticalDpi="300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FB78F-B2CE-4654-978C-2AB1B1065754}">
  <sheetPr codeName="Sheet9"/>
  <dimension ref="A1:N96"/>
  <sheetViews>
    <sheetView topLeftCell="A19" workbookViewId="0">
      <selection activeCell="B56" sqref="B56"/>
    </sheetView>
  </sheetViews>
  <sheetFormatPr defaultRowHeight="15"/>
  <cols>
    <col min="1" max="1" width="9.140625" style="3"/>
    <col min="2" max="2" width="28.85546875" style="1" customWidth="1"/>
    <col min="3" max="3" width="9.140625" style="1"/>
    <col min="4" max="5" width="10" style="3" hidden="1" customWidth="1"/>
    <col min="6" max="7" width="0" style="1" hidden="1" customWidth="1"/>
    <col min="8" max="8" width="11.7109375" style="1" bestFit="1" customWidth="1"/>
    <col min="9" max="9" width="16.85546875" style="1" customWidth="1"/>
    <col min="10" max="10" width="62.42578125" style="1" customWidth="1"/>
    <col min="11" max="16384" width="9.140625" style="1"/>
  </cols>
  <sheetData>
    <row r="1" spans="1:10">
      <c r="A1" s="4" t="s">
        <v>331</v>
      </c>
    </row>
    <row r="2" spans="1:10">
      <c r="A2" s="4" t="s">
        <v>336</v>
      </c>
      <c r="C2" s="1">
        <f>80*1024</f>
        <v>81920</v>
      </c>
      <c r="H2" s="1" t="s">
        <v>337</v>
      </c>
      <c r="I2" s="1">
        <f>C2/64</f>
        <v>1280</v>
      </c>
      <c r="J2" s="1" t="s">
        <v>338</v>
      </c>
    </row>
    <row r="3" spans="1:10">
      <c r="A3" s="17"/>
      <c r="B3" s="18" t="s">
        <v>20</v>
      </c>
      <c r="C3" s="17" t="s">
        <v>133</v>
      </c>
      <c r="D3" s="17" t="s">
        <v>143</v>
      </c>
      <c r="E3" s="17" t="s">
        <v>144</v>
      </c>
      <c r="F3" s="17" t="s">
        <v>19</v>
      </c>
      <c r="G3" s="17" t="s">
        <v>18</v>
      </c>
      <c r="H3" s="17" t="s">
        <v>17</v>
      </c>
      <c r="I3" s="17" t="s">
        <v>141</v>
      </c>
      <c r="J3" s="17" t="s">
        <v>16</v>
      </c>
    </row>
    <row r="4" spans="1:10">
      <c r="A4" s="14"/>
      <c r="B4" s="15" t="s">
        <v>134</v>
      </c>
      <c r="C4" s="14">
        <f>SUM(C5:C25)</f>
        <v>148</v>
      </c>
      <c r="D4" s="14"/>
      <c r="E4" s="14"/>
      <c r="F4" s="14"/>
      <c r="G4" s="14"/>
      <c r="H4" s="14"/>
      <c r="I4" s="14"/>
      <c r="J4" s="15"/>
    </row>
    <row r="5" spans="1:10">
      <c r="A5" s="12">
        <v>0</v>
      </c>
      <c r="B5" s="10" t="s">
        <v>15</v>
      </c>
      <c r="C5" s="12">
        <v>1</v>
      </c>
      <c r="D5" s="12">
        <v>0</v>
      </c>
      <c r="E5" s="12">
        <f t="shared" ref="E5:E25" si="0">IF(C5&gt;0,D5+C5-1,"")</f>
        <v>0</v>
      </c>
      <c r="F5" s="12">
        <v>0</v>
      </c>
      <c r="G5" s="12"/>
      <c r="H5" s="12" t="s">
        <v>2</v>
      </c>
      <c r="I5" s="11" t="s">
        <v>14</v>
      </c>
      <c r="J5" s="10" t="s">
        <v>13</v>
      </c>
    </row>
    <row r="6" spans="1:10">
      <c r="A6" s="7">
        <v>1</v>
      </c>
      <c r="B6" s="10" t="s">
        <v>136</v>
      </c>
      <c r="C6" s="12">
        <v>1</v>
      </c>
      <c r="D6" s="12">
        <f>IF(C7&gt;0,E5+1,"")</f>
        <v>1</v>
      </c>
      <c r="E6" s="7">
        <f t="shared" si="0"/>
        <v>1</v>
      </c>
      <c r="F6" s="12">
        <v>0</v>
      </c>
      <c r="G6" s="12" t="s">
        <v>69</v>
      </c>
      <c r="H6" s="12" t="s">
        <v>2</v>
      </c>
      <c r="I6" s="11">
        <v>1</v>
      </c>
      <c r="J6" s="48" t="s">
        <v>138</v>
      </c>
    </row>
    <row r="7" spans="1:10">
      <c r="A7" s="7">
        <v>2</v>
      </c>
      <c r="B7" s="8" t="s">
        <v>12</v>
      </c>
      <c r="C7" s="7">
        <v>1</v>
      </c>
      <c r="D7" s="7">
        <f>IF(C7&gt;0,E6+1,"")</f>
        <v>2</v>
      </c>
      <c r="E7" s="7">
        <f t="shared" si="0"/>
        <v>2</v>
      </c>
      <c r="F7" s="7">
        <v>0</v>
      </c>
      <c r="G7" s="7"/>
      <c r="H7" s="7" t="s">
        <v>2</v>
      </c>
      <c r="I7" s="9" t="str">
        <f>DEC2HEX(INT(C4/16))</f>
        <v>9</v>
      </c>
      <c r="J7" s="75" t="s">
        <v>11</v>
      </c>
    </row>
    <row r="8" spans="1:10">
      <c r="A8" s="7">
        <v>3</v>
      </c>
      <c r="B8" s="8" t="s">
        <v>10</v>
      </c>
      <c r="C8" s="7">
        <v>1</v>
      </c>
      <c r="D8" s="7">
        <f t="shared" ref="D8:D12" si="1">IF(C8&gt;0,E7+1,"")</f>
        <v>3</v>
      </c>
      <c r="E8" s="7">
        <f t="shared" si="0"/>
        <v>3</v>
      </c>
      <c r="F8" s="7">
        <v>8</v>
      </c>
      <c r="G8" s="7"/>
      <c r="H8" s="7" t="s">
        <v>2</v>
      </c>
      <c r="I8" s="9" t="str">
        <f>DEC2HEX(MOD(C4,16))</f>
        <v>4</v>
      </c>
      <c r="J8" s="76"/>
    </row>
    <row r="9" spans="1:10">
      <c r="A9" s="7">
        <v>4</v>
      </c>
      <c r="B9" s="8" t="s">
        <v>9</v>
      </c>
      <c r="C9" s="7">
        <v>1</v>
      </c>
      <c r="D9" s="7">
        <f t="shared" si="1"/>
        <v>4</v>
      </c>
      <c r="E9" s="7">
        <f t="shared" si="0"/>
        <v>4</v>
      </c>
      <c r="F9" s="7">
        <v>0</v>
      </c>
      <c r="G9" s="7"/>
      <c r="H9" s="7" t="s">
        <v>2</v>
      </c>
      <c r="I9" s="7">
        <v>2</v>
      </c>
      <c r="J9" s="73" t="s">
        <v>375</v>
      </c>
    </row>
    <row r="10" spans="1:10">
      <c r="A10" s="7">
        <v>5</v>
      </c>
      <c r="B10" s="8" t="s">
        <v>8</v>
      </c>
      <c r="C10" s="7">
        <v>1</v>
      </c>
      <c r="D10" s="7">
        <f t="shared" si="1"/>
        <v>5</v>
      </c>
      <c r="E10" s="7">
        <f t="shared" si="0"/>
        <v>5</v>
      </c>
      <c r="F10" s="7">
        <v>0</v>
      </c>
      <c r="G10" s="7"/>
      <c r="H10" s="7" t="s">
        <v>2</v>
      </c>
      <c r="I10" s="7">
        <v>1</v>
      </c>
      <c r="J10" s="74"/>
    </row>
    <row r="11" spans="1:10">
      <c r="A11" s="7">
        <v>6</v>
      </c>
      <c r="B11" s="8" t="s">
        <v>7</v>
      </c>
      <c r="C11" s="7">
        <v>1</v>
      </c>
      <c r="D11" s="7">
        <f t="shared" si="1"/>
        <v>6</v>
      </c>
      <c r="E11" s="7">
        <f t="shared" si="0"/>
        <v>6</v>
      </c>
      <c r="F11" s="7">
        <v>0</v>
      </c>
      <c r="G11" s="7"/>
      <c r="H11" s="7" t="s">
        <v>2</v>
      </c>
      <c r="I11" s="7">
        <v>1</v>
      </c>
      <c r="J11" s="75" t="s">
        <v>6</v>
      </c>
    </row>
    <row r="12" spans="1:10">
      <c r="A12" s="7">
        <v>7</v>
      </c>
      <c r="B12" s="8" t="s">
        <v>5</v>
      </c>
      <c r="C12" s="7">
        <v>1</v>
      </c>
      <c r="D12" s="7">
        <f t="shared" si="1"/>
        <v>7</v>
      </c>
      <c r="E12" s="7">
        <f t="shared" si="0"/>
        <v>7</v>
      </c>
      <c r="F12" s="7">
        <v>0</v>
      </c>
      <c r="G12" s="7"/>
      <c r="H12" s="7" t="s">
        <v>2</v>
      </c>
      <c r="I12" s="7">
        <v>2</v>
      </c>
      <c r="J12" s="76"/>
    </row>
    <row r="13" spans="1:10">
      <c r="A13" s="7">
        <v>8</v>
      </c>
      <c r="B13" s="8" t="s">
        <v>343</v>
      </c>
      <c r="C13" s="7">
        <v>1</v>
      </c>
      <c r="D13" s="7" t="e">
        <f>IF(C13&gt;0,#REF!+1,"")</f>
        <v>#REF!</v>
      </c>
      <c r="E13" s="7" t="e">
        <f>IF(C13&gt;0,D13+C13-1,"")</f>
        <v>#REF!</v>
      </c>
      <c r="F13" s="7">
        <v>0</v>
      </c>
      <c r="G13" s="7"/>
      <c r="H13" s="7" t="s">
        <v>0</v>
      </c>
      <c r="I13" s="7">
        <v>0</v>
      </c>
      <c r="J13" s="75" t="s">
        <v>346</v>
      </c>
    </row>
    <row r="14" spans="1:10">
      <c r="A14" s="7">
        <v>9</v>
      </c>
      <c r="B14" s="8" t="s">
        <v>344</v>
      </c>
      <c r="C14" s="7">
        <v>1</v>
      </c>
      <c r="D14" s="7" t="e">
        <f>IF(C14&gt;0,E23+1,"")</f>
        <v>#REF!</v>
      </c>
      <c r="E14" s="7" t="e">
        <f>IF(C14&gt;0,D14+C14-1,"")</f>
        <v>#REF!</v>
      </c>
      <c r="F14" s="7">
        <v>0</v>
      </c>
      <c r="G14" s="7"/>
      <c r="H14" s="7" t="s">
        <v>0</v>
      </c>
      <c r="I14" s="7">
        <v>0</v>
      </c>
      <c r="J14" s="101"/>
    </row>
    <row r="15" spans="1:10">
      <c r="A15" s="7">
        <v>10</v>
      </c>
      <c r="B15" s="8" t="s">
        <v>344</v>
      </c>
      <c r="C15" s="7">
        <v>1</v>
      </c>
      <c r="D15" s="7" t="e">
        <f>IF(C15&gt;0,E24+1,"")</f>
        <v>#REF!</v>
      </c>
      <c r="E15" s="7" t="e">
        <f t="shared" ref="E15" si="2">IF(C15&gt;0,D15+C15-1,"")</f>
        <v>#REF!</v>
      </c>
      <c r="F15" s="7">
        <v>0</v>
      </c>
      <c r="G15" s="7"/>
      <c r="H15" s="7" t="s">
        <v>0</v>
      </c>
      <c r="I15" s="7">
        <v>0</v>
      </c>
      <c r="J15" s="101"/>
    </row>
    <row r="16" spans="1:10">
      <c r="A16" s="7">
        <v>11</v>
      </c>
      <c r="B16" s="8" t="s">
        <v>345</v>
      </c>
      <c r="C16" s="7">
        <v>1</v>
      </c>
      <c r="D16" s="7" t="e">
        <f t="shared" ref="D16" si="3">IF(C16&gt;0,E14+1,"")</f>
        <v>#REF!</v>
      </c>
      <c r="E16" s="7" t="e">
        <f t="shared" ref="E16" si="4">IF(C16&gt;0,D16+C16-1,"")</f>
        <v>#REF!</v>
      </c>
      <c r="F16" s="7">
        <v>0</v>
      </c>
      <c r="G16" s="7"/>
      <c r="H16" s="7" t="s">
        <v>0</v>
      </c>
      <c r="I16" s="7">
        <v>0</v>
      </c>
      <c r="J16" s="101"/>
    </row>
    <row r="17" spans="1:10">
      <c r="A17" s="7">
        <v>12</v>
      </c>
      <c r="B17" s="8" t="s">
        <v>29</v>
      </c>
      <c r="C17" s="7">
        <v>1</v>
      </c>
      <c r="D17" s="7" t="e">
        <f>IF(C17&gt;0,#REF!+1,"")</f>
        <v>#REF!</v>
      </c>
      <c r="E17" s="7" t="e">
        <f t="shared" si="0"/>
        <v>#REF!</v>
      </c>
      <c r="F17" s="7">
        <v>0</v>
      </c>
      <c r="G17" s="7"/>
      <c r="H17" s="7" t="s">
        <v>0</v>
      </c>
      <c r="I17" s="7">
        <v>0</v>
      </c>
      <c r="J17" s="75" t="s">
        <v>339</v>
      </c>
    </row>
    <row r="18" spans="1:10">
      <c r="A18" s="7">
        <v>13</v>
      </c>
      <c r="B18" s="8" t="s">
        <v>334</v>
      </c>
      <c r="C18" s="7">
        <v>1</v>
      </c>
      <c r="D18" s="7">
        <f t="shared" ref="D18" si="5">IF(C18&gt;0,E12+1,"")</f>
        <v>8</v>
      </c>
      <c r="E18" s="7">
        <f t="shared" si="0"/>
        <v>8</v>
      </c>
      <c r="F18" s="7">
        <v>0</v>
      </c>
      <c r="G18" s="7"/>
      <c r="H18" s="7" t="s">
        <v>0</v>
      </c>
      <c r="I18" s="7">
        <v>3</v>
      </c>
      <c r="J18" s="96"/>
    </row>
    <row r="19" spans="1:10">
      <c r="A19" s="7">
        <v>14</v>
      </c>
      <c r="B19" s="8" t="s">
        <v>334</v>
      </c>
      <c r="C19" s="7">
        <v>1</v>
      </c>
      <c r="D19" s="7" t="e">
        <f t="shared" ref="D19" si="6">IF(C19&gt;0,E17+1,"")</f>
        <v>#REF!</v>
      </c>
      <c r="E19" s="7" t="e">
        <f t="shared" ref="E19:E20" si="7">IF(C19&gt;0,D19+C19-1,"")</f>
        <v>#REF!</v>
      </c>
      <c r="F19" s="7">
        <v>0</v>
      </c>
      <c r="G19" s="7"/>
      <c r="H19" s="7" t="s">
        <v>0</v>
      </c>
      <c r="I19" s="7">
        <v>2</v>
      </c>
      <c r="J19" s="101"/>
    </row>
    <row r="20" spans="1:10">
      <c r="A20" s="7">
        <v>15</v>
      </c>
      <c r="B20" s="8" t="s">
        <v>333</v>
      </c>
      <c r="C20" s="7">
        <v>1</v>
      </c>
      <c r="D20" s="7" t="e">
        <f>IF(C20&gt;0,E19+1,"")</f>
        <v>#REF!</v>
      </c>
      <c r="E20" s="7" t="e">
        <f t="shared" si="7"/>
        <v>#REF!</v>
      </c>
      <c r="F20" s="7">
        <v>0</v>
      </c>
      <c r="G20" s="7"/>
      <c r="H20" s="7" t="s">
        <v>0</v>
      </c>
      <c r="I20" s="7">
        <v>0</v>
      </c>
      <c r="J20" s="76"/>
    </row>
    <row r="21" spans="1:10">
      <c r="A21" s="7">
        <v>16</v>
      </c>
      <c r="B21" s="8" t="s">
        <v>26</v>
      </c>
      <c r="C21" s="7">
        <v>1</v>
      </c>
      <c r="D21" s="7" t="e">
        <f>IF(C21&gt;0,#REF!+1,"")</f>
        <v>#REF!</v>
      </c>
      <c r="E21" s="7" t="e">
        <f t="shared" si="0"/>
        <v>#REF!</v>
      </c>
      <c r="F21" s="7">
        <v>0</v>
      </c>
      <c r="G21" s="7"/>
      <c r="H21" s="7" t="s">
        <v>0</v>
      </c>
      <c r="I21" s="7">
        <v>0</v>
      </c>
      <c r="J21" s="96" t="s">
        <v>25</v>
      </c>
    </row>
    <row r="22" spans="1:10">
      <c r="A22" s="7">
        <v>17</v>
      </c>
      <c r="B22" s="8" t="s">
        <v>335</v>
      </c>
      <c r="C22" s="7">
        <v>1</v>
      </c>
      <c r="D22" s="7" t="e">
        <f>IF(C22&gt;0,E19+1,"")</f>
        <v>#REF!</v>
      </c>
      <c r="E22" s="7" t="e">
        <f t="shared" si="0"/>
        <v>#REF!</v>
      </c>
      <c r="F22" s="7">
        <v>0</v>
      </c>
      <c r="G22" s="7"/>
      <c r="H22" s="7" t="s">
        <v>0</v>
      </c>
      <c r="I22" s="7">
        <v>0</v>
      </c>
      <c r="J22" s="96"/>
    </row>
    <row r="23" spans="1:10">
      <c r="A23" s="7">
        <v>18</v>
      </c>
      <c r="B23" s="8" t="s">
        <v>335</v>
      </c>
      <c r="C23" s="7">
        <v>1</v>
      </c>
      <c r="D23" s="7" t="e">
        <f>IF(C23&gt;0,E20+1,"")</f>
        <v>#REF!</v>
      </c>
      <c r="E23" s="7" t="e">
        <f t="shared" ref="E23:E24" si="8">IF(C23&gt;0,D23+C23-1,"")</f>
        <v>#REF!</v>
      </c>
      <c r="F23" s="7">
        <v>0</v>
      </c>
      <c r="G23" s="7"/>
      <c r="H23" s="7" t="s">
        <v>0</v>
      </c>
      <c r="I23" s="7">
        <v>0</v>
      </c>
      <c r="J23" s="101"/>
    </row>
    <row r="24" spans="1:10">
      <c r="A24" s="7">
        <v>19</v>
      </c>
      <c r="B24" s="8" t="s">
        <v>24</v>
      </c>
      <c r="C24" s="7">
        <v>1</v>
      </c>
      <c r="D24" s="7" t="e">
        <f t="shared" ref="D24" si="9">IF(C24&gt;0,E23+1,"")</f>
        <v>#REF!</v>
      </c>
      <c r="E24" s="7" t="e">
        <f t="shared" si="8"/>
        <v>#REF!</v>
      </c>
      <c r="F24" s="7">
        <v>0</v>
      </c>
      <c r="G24" s="7"/>
      <c r="H24" s="7" t="s">
        <v>0</v>
      </c>
      <c r="I24" s="7">
        <v>0</v>
      </c>
      <c r="J24" s="76"/>
    </row>
    <row r="25" spans="1:10">
      <c r="A25" s="5" t="s">
        <v>347</v>
      </c>
      <c r="B25" s="6" t="s">
        <v>72</v>
      </c>
      <c r="C25" s="5">
        <v>128</v>
      </c>
      <c r="D25" s="5" t="e">
        <f>E21+1</f>
        <v>#REF!</v>
      </c>
      <c r="E25" s="5" t="e">
        <f t="shared" si="0"/>
        <v>#REF!</v>
      </c>
      <c r="F25" s="5"/>
      <c r="G25" s="5"/>
      <c r="H25" s="5" t="s">
        <v>0</v>
      </c>
      <c r="I25" s="5"/>
      <c r="J25" s="6" t="s">
        <v>332</v>
      </c>
    </row>
    <row r="26" spans="1:10">
      <c r="C26" s="3"/>
      <c r="H26" s="3"/>
      <c r="I26" s="3"/>
    </row>
    <row r="27" spans="1:10">
      <c r="A27" s="4" t="s">
        <v>70</v>
      </c>
      <c r="B27" s="4"/>
      <c r="C27" s="3"/>
      <c r="H27" s="3"/>
      <c r="I27" s="3"/>
    </row>
    <row r="28" spans="1:10">
      <c r="A28" s="4"/>
      <c r="D28" s="1"/>
      <c r="E28" s="1"/>
      <c r="J28" s="2"/>
    </row>
    <row r="29" spans="1:10">
      <c r="A29" s="17"/>
      <c r="B29" s="18" t="s">
        <v>20</v>
      </c>
      <c r="C29" s="17" t="s">
        <v>133</v>
      </c>
      <c r="D29" s="17" t="s">
        <v>143</v>
      </c>
      <c r="E29" s="17" t="s">
        <v>144</v>
      </c>
      <c r="F29" s="17" t="s">
        <v>19</v>
      </c>
      <c r="G29" s="17" t="s">
        <v>18</v>
      </c>
      <c r="H29" s="17" t="s">
        <v>17</v>
      </c>
      <c r="I29" s="17" t="s">
        <v>141</v>
      </c>
      <c r="J29" s="17" t="s">
        <v>16</v>
      </c>
    </row>
    <row r="30" spans="1:10">
      <c r="A30" s="14"/>
      <c r="B30" s="15" t="s">
        <v>134</v>
      </c>
      <c r="C30" s="14">
        <f>SUM(C31:C56)</f>
        <v>26</v>
      </c>
      <c r="D30" s="14"/>
      <c r="E30" s="14"/>
      <c r="F30" s="14"/>
      <c r="G30" s="14"/>
      <c r="H30" s="14"/>
      <c r="I30" s="14"/>
      <c r="J30" s="13"/>
    </row>
    <row r="31" spans="1:10">
      <c r="A31" s="12">
        <v>0</v>
      </c>
      <c r="B31" s="10" t="s">
        <v>15</v>
      </c>
      <c r="C31" s="12">
        <v>1</v>
      </c>
      <c r="D31" s="12">
        <v>0</v>
      </c>
      <c r="E31" s="12">
        <f t="shared" ref="E31:E48" si="10">IF(C31&gt;0,D31+C31-1,"")</f>
        <v>0</v>
      </c>
      <c r="F31" s="12">
        <v>0</v>
      </c>
      <c r="G31" s="12"/>
      <c r="H31" s="12" t="s">
        <v>2</v>
      </c>
      <c r="I31" s="11" t="s">
        <v>14</v>
      </c>
      <c r="J31" s="10" t="s">
        <v>13</v>
      </c>
    </row>
    <row r="32" spans="1:10">
      <c r="A32" s="7">
        <v>1</v>
      </c>
      <c r="B32" s="10" t="s">
        <v>136</v>
      </c>
      <c r="C32" s="12">
        <v>1</v>
      </c>
      <c r="D32" s="12">
        <f>IF(C33&gt;0,E31+1,"")</f>
        <v>1</v>
      </c>
      <c r="E32" s="7">
        <f t="shared" si="10"/>
        <v>1</v>
      </c>
      <c r="F32" s="12">
        <v>0</v>
      </c>
      <c r="G32" s="12" t="s">
        <v>69</v>
      </c>
      <c r="H32" s="12" t="s">
        <v>2</v>
      </c>
      <c r="I32" s="11">
        <v>1</v>
      </c>
      <c r="J32" s="48" t="s">
        <v>138</v>
      </c>
    </row>
    <row r="33" spans="1:10">
      <c r="A33" s="7">
        <v>2</v>
      </c>
      <c r="B33" s="8" t="s">
        <v>12</v>
      </c>
      <c r="C33" s="7">
        <v>1</v>
      </c>
      <c r="D33" s="7">
        <f t="shared" ref="D33:D38" si="11">IF(C33&gt;0,E32+1,"")</f>
        <v>2</v>
      </c>
      <c r="E33" s="7">
        <f t="shared" si="10"/>
        <v>2</v>
      </c>
      <c r="F33" s="7">
        <v>0</v>
      </c>
      <c r="G33" s="7"/>
      <c r="H33" s="7" t="s">
        <v>2</v>
      </c>
      <c r="I33" s="9" t="str">
        <f>DEC2HEX(INT(C30/16),1)</f>
        <v>1</v>
      </c>
      <c r="J33" s="75" t="s">
        <v>11</v>
      </c>
    </row>
    <row r="34" spans="1:10">
      <c r="A34" s="7">
        <v>3</v>
      </c>
      <c r="B34" s="8" t="s">
        <v>10</v>
      </c>
      <c r="C34" s="7">
        <v>1</v>
      </c>
      <c r="D34" s="7">
        <f t="shared" si="11"/>
        <v>3</v>
      </c>
      <c r="E34" s="7">
        <f t="shared" si="10"/>
        <v>3</v>
      </c>
      <c r="F34" s="7">
        <v>8</v>
      </c>
      <c r="G34" s="7"/>
      <c r="H34" s="7" t="s">
        <v>2</v>
      </c>
      <c r="I34" s="9" t="str">
        <f>DEC2HEX(MOD(C30,16),1)</f>
        <v>A</v>
      </c>
      <c r="J34" s="76"/>
    </row>
    <row r="35" spans="1:10">
      <c r="A35" s="7">
        <v>4</v>
      </c>
      <c r="B35" s="8" t="s">
        <v>9</v>
      </c>
      <c r="C35" s="7">
        <v>1</v>
      </c>
      <c r="D35" s="7">
        <f t="shared" si="11"/>
        <v>4</v>
      </c>
      <c r="E35" s="7">
        <f t="shared" si="10"/>
        <v>4</v>
      </c>
      <c r="F35" s="7">
        <v>0</v>
      </c>
      <c r="G35" s="7"/>
      <c r="H35" s="7" t="s">
        <v>2</v>
      </c>
      <c r="I35" s="7">
        <v>2</v>
      </c>
      <c r="J35" s="73" t="s">
        <v>375</v>
      </c>
    </row>
    <row r="36" spans="1:10">
      <c r="A36" s="7">
        <v>5</v>
      </c>
      <c r="B36" s="8" t="s">
        <v>8</v>
      </c>
      <c r="C36" s="7">
        <v>1</v>
      </c>
      <c r="D36" s="7">
        <f t="shared" si="11"/>
        <v>5</v>
      </c>
      <c r="E36" s="7">
        <f t="shared" si="10"/>
        <v>5</v>
      </c>
      <c r="F36" s="7">
        <v>0</v>
      </c>
      <c r="G36" s="7"/>
      <c r="H36" s="7" t="s">
        <v>2</v>
      </c>
      <c r="I36" s="7">
        <v>1</v>
      </c>
      <c r="J36" s="74"/>
    </row>
    <row r="37" spans="1:10">
      <c r="A37" s="7">
        <v>6</v>
      </c>
      <c r="B37" s="8" t="s">
        <v>7</v>
      </c>
      <c r="C37" s="7">
        <v>1</v>
      </c>
      <c r="D37" s="7">
        <f t="shared" si="11"/>
        <v>6</v>
      </c>
      <c r="E37" s="7">
        <f t="shared" si="10"/>
        <v>6</v>
      </c>
      <c r="F37" s="7">
        <v>0</v>
      </c>
      <c r="G37" s="7"/>
      <c r="H37" s="7" t="s">
        <v>2</v>
      </c>
      <c r="I37" s="7" t="s">
        <v>69</v>
      </c>
      <c r="J37" s="75" t="s">
        <v>6</v>
      </c>
    </row>
    <row r="38" spans="1:10" ht="14.25" customHeight="1">
      <c r="A38" s="7">
        <v>7</v>
      </c>
      <c r="B38" s="8" t="s">
        <v>5</v>
      </c>
      <c r="C38" s="7">
        <v>1</v>
      </c>
      <c r="D38" s="7">
        <f t="shared" si="11"/>
        <v>7</v>
      </c>
      <c r="E38" s="7">
        <f t="shared" si="10"/>
        <v>7</v>
      </c>
      <c r="F38" s="7">
        <v>0</v>
      </c>
      <c r="G38" s="7"/>
      <c r="H38" s="7" t="s">
        <v>2</v>
      </c>
      <c r="I38" s="7" t="s">
        <v>69</v>
      </c>
      <c r="J38" s="76"/>
    </row>
    <row r="39" spans="1:10" ht="21" customHeight="1">
      <c r="A39" s="7">
        <v>8</v>
      </c>
      <c r="B39" s="8" t="s">
        <v>349</v>
      </c>
      <c r="C39" s="7">
        <v>1</v>
      </c>
      <c r="D39" s="7">
        <f>IF(C39&gt;0,D38+1,"")</f>
        <v>8</v>
      </c>
      <c r="E39" s="7">
        <f t="shared" si="10"/>
        <v>8</v>
      </c>
      <c r="F39" s="7">
        <v>1</v>
      </c>
      <c r="G39" s="7"/>
      <c r="H39" s="7" t="s">
        <v>2</v>
      </c>
      <c r="I39" s="7">
        <v>0</v>
      </c>
      <c r="J39" s="78" t="s">
        <v>153</v>
      </c>
    </row>
    <row r="40" spans="1:10" ht="21" customHeight="1">
      <c r="A40" s="7">
        <v>9</v>
      </c>
      <c r="B40" s="8" t="s">
        <v>350</v>
      </c>
      <c r="C40" s="7">
        <v>1</v>
      </c>
      <c r="D40" s="7">
        <f>IF(C40&gt;0,D39+1,"")</f>
        <v>9</v>
      </c>
      <c r="E40" s="7">
        <f t="shared" si="10"/>
        <v>9</v>
      </c>
      <c r="F40" s="7">
        <v>1</v>
      </c>
      <c r="G40" s="7"/>
      <c r="H40" s="7" t="s">
        <v>2</v>
      </c>
      <c r="I40" s="7">
        <v>1</v>
      </c>
      <c r="J40" s="79"/>
    </row>
    <row r="41" spans="1:10">
      <c r="A41" s="7">
        <v>10</v>
      </c>
      <c r="B41" s="8" t="s">
        <v>376</v>
      </c>
      <c r="C41" s="7">
        <v>1</v>
      </c>
      <c r="D41" s="7" t="e">
        <f>IF(C41&gt;0,#REF!+1,"")</f>
        <v>#REF!</v>
      </c>
      <c r="E41" s="7" t="e">
        <f>IF(C41&gt;0,D41+C41-1,"")</f>
        <v>#REF!</v>
      </c>
      <c r="F41" s="7">
        <v>0</v>
      </c>
      <c r="G41" s="7"/>
      <c r="H41" s="7" t="s">
        <v>2</v>
      </c>
      <c r="I41" s="7">
        <v>0</v>
      </c>
      <c r="J41" s="75" t="s">
        <v>352</v>
      </c>
    </row>
    <row r="42" spans="1:10">
      <c r="A42" s="7">
        <v>11</v>
      </c>
      <c r="B42" s="8" t="s">
        <v>377</v>
      </c>
      <c r="C42" s="7">
        <v>1</v>
      </c>
      <c r="D42" s="7">
        <f>IF(C42&gt;0,E47+1,"")</f>
        <v>11</v>
      </c>
      <c r="E42" s="7">
        <f>IF(C42&gt;0,D42+C42-1,"")</f>
        <v>11</v>
      </c>
      <c r="F42" s="7">
        <v>0</v>
      </c>
      <c r="G42" s="7"/>
      <c r="H42" s="7" t="s">
        <v>2</v>
      </c>
      <c r="I42" s="7">
        <v>0</v>
      </c>
      <c r="J42" s="96"/>
    </row>
    <row r="43" spans="1:10">
      <c r="A43" s="7">
        <v>12</v>
      </c>
      <c r="B43" s="8" t="s">
        <v>378</v>
      </c>
      <c r="C43" s="7">
        <v>1</v>
      </c>
      <c r="D43" s="7">
        <f>IF(C43&gt;0,E48+1,"")</f>
        <v>12</v>
      </c>
      <c r="E43" s="7">
        <f>IF(C43&gt;0,D43+C43-1,"")</f>
        <v>12</v>
      </c>
      <c r="F43" s="7">
        <v>0</v>
      </c>
      <c r="G43" s="7"/>
      <c r="H43" s="7" t="s">
        <v>2</v>
      </c>
      <c r="I43" s="7">
        <v>0</v>
      </c>
      <c r="J43" s="96"/>
    </row>
    <row r="44" spans="1:10">
      <c r="A44" s="7">
        <v>13</v>
      </c>
      <c r="B44" s="8" t="s">
        <v>379</v>
      </c>
      <c r="C44" s="7">
        <v>1</v>
      </c>
      <c r="D44" s="7">
        <f t="shared" ref="D44" si="12">IF(C44&gt;0,E42+1,"")</f>
        <v>12</v>
      </c>
      <c r="E44" s="7">
        <f>IF(C44&gt;0,D44+C44-1,"")</f>
        <v>12</v>
      </c>
      <c r="F44" s="7">
        <v>0</v>
      </c>
      <c r="G44" s="7"/>
      <c r="H44" s="7" t="s">
        <v>2</v>
      </c>
      <c r="I44" s="7">
        <v>0</v>
      </c>
      <c r="J44" s="77"/>
    </row>
    <row r="45" spans="1:10">
      <c r="A45" s="7">
        <v>14</v>
      </c>
      <c r="B45" s="8" t="s">
        <v>26</v>
      </c>
      <c r="C45" s="7">
        <v>1</v>
      </c>
      <c r="D45" s="7" t="e">
        <f>IF(C45&gt;0,#REF!+1,"")</f>
        <v>#REF!</v>
      </c>
      <c r="E45" s="7" t="e">
        <f t="shared" si="10"/>
        <v>#REF!</v>
      </c>
      <c r="F45" s="7">
        <v>0</v>
      </c>
      <c r="G45" s="7"/>
      <c r="H45" s="7" t="s">
        <v>2</v>
      </c>
      <c r="I45" s="7">
        <v>0</v>
      </c>
      <c r="J45" s="75" t="s">
        <v>351</v>
      </c>
    </row>
    <row r="46" spans="1:10">
      <c r="A46" s="7">
        <v>15</v>
      </c>
      <c r="B46" s="8" t="s">
        <v>335</v>
      </c>
      <c r="C46" s="7">
        <v>1</v>
      </c>
      <c r="D46" s="7">
        <f>IF(C46&gt;0,E39+1,"")</f>
        <v>9</v>
      </c>
      <c r="E46" s="7">
        <f t="shared" si="10"/>
        <v>9</v>
      </c>
      <c r="F46" s="7">
        <v>0</v>
      </c>
      <c r="G46" s="7"/>
      <c r="H46" s="7" t="s">
        <v>2</v>
      </c>
      <c r="I46" s="7">
        <v>0</v>
      </c>
      <c r="J46" s="96"/>
    </row>
    <row r="47" spans="1:10">
      <c r="A47" s="7">
        <v>16</v>
      </c>
      <c r="B47" s="8" t="s">
        <v>335</v>
      </c>
      <c r="C47" s="7">
        <v>1</v>
      </c>
      <c r="D47" s="7">
        <f>IF(C47&gt;0,E40+1,"")</f>
        <v>10</v>
      </c>
      <c r="E47" s="7">
        <f t="shared" si="10"/>
        <v>10</v>
      </c>
      <c r="F47" s="7">
        <v>0</v>
      </c>
      <c r="G47" s="7"/>
      <c r="H47" s="7" t="s">
        <v>2</v>
      </c>
      <c r="I47" s="7">
        <v>0</v>
      </c>
      <c r="J47" s="96"/>
    </row>
    <row r="48" spans="1:10">
      <c r="A48" s="7">
        <v>17</v>
      </c>
      <c r="B48" s="8" t="s">
        <v>24</v>
      </c>
      <c r="C48" s="7">
        <v>1</v>
      </c>
      <c r="D48" s="7">
        <f t="shared" ref="D48" si="13">IF(C48&gt;0,E47+1,"")</f>
        <v>11</v>
      </c>
      <c r="E48" s="7">
        <f t="shared" si="10"/>
        <v>11</v>
      </c>
      <c r="F48" s="7">
        <v>0</v>
      </c>
      <c r="G48" s="7"/>
      <c r="H48" s="7" t="s">
        <v>2</v>
      </c>
      <c r="I48" s="7">
        <v>0</v>
      </c>
      <c r="J48" s="77"/>
    </row>
    <row r="49" spans="1:11">
      <c r="A49" s="7">
        <v>18</v>
      </c>
      <c r="B49" s="8" t="s">
        <v>370</v>
      </c>
      <c r="C49" s="7">
        <v>1</v>
      </c>
      <c r="D49" s="7" t="e">
        <f>IF(C49&gt;0,#REF!+1,"")</f>
        <v>#REF!</v>
      </c>
      <c r="E49" s="7" t="e">
        <f>IF(C49&gt;0,D49+C49-1,"")</f>
        <v>#REF!</v>
      </c>
      <c r="F49" s="7">
        <v>0</v>
      </c>
      <c r="G49" s="7"/>
      <c r="H49" s="7" t="s">
        <v>2</v>
      </c>
      <c r="I49" s="7">
        <v>0</v>
      </c>
      <c r="J49" s="75" t="s">
        <v>373</v>
      </c>
    </row>
    <row r="50" spans="1:11">
      <c r="A50" s="7">
        <v>19</v>
      </c>
      <c r="B50" s="8" t="s">
        <v>371</v>
      </c>
      <c r="C50" s="7">
        <v>1</v>
      </c>
      <c r="D50" s="7">
        <f>IF(C50&gt;0,E39+1,"")</f>
        <v>9</v>
      </c>
      <c r="E50" s="7">
        <f>IF(C50&gt;0,D50+C50-1,"")</f>
        <v>9</v>
      </c>
      <c r="F50" s="7">
        <v>0</v>
      </c>
      <c r="G50" s="7"/>
      <c r="H50" s="7" t="s">
        <v>2</v>
      </c>
      <c r="I50" s="7">
        <v>0</v>
      </c>
      <c r="J50" s="96"/>
    </row>
    <row r="51" spans="1:11">
      <c r="A51" s="7">
        <v>20</v>
      </c>
      <c r="B51" s="8" t="s">
        <v>371</v>
      </c>
      <c r="C51" s="7">
        <v>1</v>
      </c>
      <c r="D51" s="7">
        <f>IF(C51&gt;0,E40+1,"")</f>
        <v>10</v>
      </c>
      <c r="E51" s="7">
        <f>IF(C51&gt;0,D51+C51-1,"")</f>
        <v>10</v>
      </c>
      <c r="F51" s="7">
        <v>0</v>
      </c>
      <c r="G51" s="7"/>
      <c r="H51" s="7" t="s">
        <v>2</v>
      </c>
      <c r="I51" s="7">
        <v>0</v>
      </c>
      <c r="J51" s="96"/>
    </row>
    <row r="52" spans="1:11">
      <c r="A52" s="7">
        <v>21</v>
      </c>
      <c r="B52" s="8" t="s">
        <v>372</v>
      </c>
      <c r="C52" s="7">
        <v>1</v>
      </c>
      <c r="D52" s="7">
        <f t="shared" ref="D52" si="14">IF(C52&gt;0,E51+1,"")</f>
        <v>11</v>
      </c>
      <c r="E52" s="7">
        <f>IF(C52&gt;0,D52+C52-1,"")</f>
        <v>11</v>
      </c>
      <c r="F52" s="7">
        <v>0</v>
      </c>
      <c r="G52" s="7"/>
      <c r="H52" s="7" t="s">
        <v>2</v>
      </c>
      <c r="I52" s="7">
        <v>0</v>
      </c>
      <c r="J52" s="77"/>
    </row>
    <row r="53" spans="1:11" ht="24" customHeight="1">
      <c r="A53" s="7">
        <v>22</v>
      </c>
      <c r="B53" s="8" t="s">
        <v>4</v>
      </c>
      <c r="C53" s="7">
        <v>1</v>
      </c>
      <c r="D53" s="7"/>
      <c r="E53" s="7"/>
      <c r="F53" s="7"/>
      <c r="G53" s="7"/>
      <c r="H53" s="7" t="s">
        <v>2</v>
      </c>
      <c r="I53" s="7">
        <v>0</v>
      </c>
      <c r="J53" s="78" t="s">
        <v>414</v>
      </c>
    </row>
    <row r="54" spans="1:11" ht="24" customHeight="1">
      <c r="A54" s="7">
        <v>23</v>
      </c>
      <c r="B54" s="8" t="s">
        <v>374</v>
      </c>
      <c r="C54" s="7">
        <v>1</v>
      </c>
      <c r="D54" s="7"/>
      <c r="E54" s="7"/>
      <c r="F54" s="7"/>
      <c r="G54" s="7"/>
      <c r="H54" s="7" t="s">
        <v>2</v>
      </c>
      <c r="I54" s="7">
        <v>0</v>
      </c>
      <c r="J54" s="100"/>
    </row>
    <row r="55" spans="1:11" ht="24" customHeight="1">
      <c r="A55" s="7">
        <v>24</v>
      </c>
      <c r="B55" s="8" t="s">
        <v>39</v>
      </c>
      <c r="C55" s="7">
        <v>1</v>
      </c>
      <c r="D55" s="7"/>
      <c r="E55" s="7"/>
      <c r="F55" s="7"/>
      <c r="G55" s="7"/>
      <c r="H55" s="7" t="s">
        <v>2</v>
      </c>
      <c r="I55" s="7">
        <v>0</v>
      </c>
      <c r="J55" s="100"/>
    </row>
    <row r="56" spans="1:11" ht="24" customHeight="1">
      <c r="A56" s="5">
        <v>25</v>
      </c>
      <c r="B56" s="6" t="s">
        <v>3</v>
      </c>
      <c r="C56" s="5">
        <v>1</v>
      </c>
      <c r="D56" s="5"/>
      <c r="E56" s="5"/>
      <c r="F56" s="5"/>
      <c r="G56" s="5"/>
      <c r="H56" s="5" t="s">
        <v>2</v>
      </c>
      <c r="I56" s="5">
        <v>1</v>
      </c>
      <c r="J56" s="97"/>
    </row>
    <row r="58" spans="1:11">
      <c r="A58" s="4"/>
    </row>
    <row r="60" spans="1:11">
      <c r="K60" s="20"/>
    </row>
    <row r="61" spans="1:11">
      <c r="K61" s="20"/>
    </row>
    <row r="62" spans="1:11">
      <c r="K62" s="20"/>
    </row>
    <row r="63" spans="1:11">
      <c r="B63" s="43"/>
      <c r="K63" s="20"/>
    </row>
    <row r="92" spans="1:14" s="3" customFormat="1">
      <c r="B92" s="1"/>
      <c r="C92" s="1"/>
      <c r="D92" s="1"/>
      <c r="F92" s="1"/>
      <c r="G92" s="1"/>
      <c r="H92" s="1"/>
      <c r="I92" s="1"/>
      <c r="J92" s="1"/>
      <c r="K92" s="1"/>
      <c r="L92" s="1"/>
      <c r="M92" s="1"/>
      <c r="N92" s="1"/>
    </row>
    <row r="93" spans="1:14" s="3" customFormat="1">
      <c r="A93" s="1"/>
      <c r="B93" s="1"/>
      <c r="C93" s="1"/>
      <c r="D93" s="1"/>
      <c r="F93" s="1"/>
      <c r="G93" s="1"/>
      <c r="H93" s="1"/>
      <c r="I93" s="1"/>
      <c r="J93" s="1"/>
      <c r="K93" s="1"/>
      <c r="L93" s="1"/>
      <c r="M93" s="1"/>
      <c r="N93" s="1"/>
    </row>
    <row r="94" spans="1:14" s="3" customFormat="1">
      <c r="A94" s="1"/>
      <c r="B94" s="1"/>
      <c r="C94" s="1"/>
      <c r="D94" s="1"/>
      <c r="F94" s="1"/>
      <c r="G94" s="1"/>
      <c r="H94" s="1"/>
      <c r="I94" s="1"/>
      <c r="J94" s="1"/>
      <c r="K94" s="1"/>
      <c r="L94" s="1"/>
      <c r="M94" s="1"/>
      <c r="N94" s="1"/>
    </row>
    <row r="95" spans="1:14" s="3" customFormat="1">
      <c r="A95" s="1"/>
      <c r="B95" s="1"/>
      <c r="C95" s="1"/>
      <c r="D95" s="1"/>
      <c r="F95" s="1"/>
      <c r="G95" s="1"/>
      <c r="H95" s="1"/>
      <c r="I95" s="1"/>
      <c r="J95" s="1"/>
      <c r="K95" s="1"/>
      <c r="L95" s="1"/>
      <c r="M95" s="1"/>
      <c r="N95" s="1"/>
    </row>
    <row r="96" spans="1:14">
      <c r="A96" s="1"/>
    </row>
  </sheetData>
  <sheetProtection selectLockedCells="1"/>
  <mergeCells count="14">
    <mergeCell ref="J53:J56"/>
    <mergeCell ref="J37:J38"/>
    <mergeCell ref="J39:J40"/>
    <mergeCell ref="J45:J48"/>
    <mergeCell ref="J7:J8"/>
    <mergeCell ref="J9:J10"/>
    <mergeCell ref="J11:J12"/>
    <mergeCell ref="J41:J44"/>
    <mergeCell ref="J49:J52"/>
    <mergeCell ref="J33:J34"/>
    <mergeCell ref="J35:J36"/>
    <mergeCell ref="J17:J20"/>
    <mergeCell ref="J21:J24"/>
    <mergeCell ref="J13:J16"/>
  </mergeCells>
  <pageMargins left="0.7" right="0.7" top="0.75" bottom="0.75" header="0.3" footer="0.3"/>
  <pageSetup orientation="portrait" horizontalDpi="300" verticalDpi="30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0878-C276-415B-8CD1-A69FD1B98DBF}">
  <sheetPr codeName="Sheet10"/>
  <dimension ref="A1:J60"/>
  <sheetViews>
    <sheetView topLeftCell="C16" workbookViewId="0">
      <selection activeCell="J29" sqref="J29:J60"/>
    </sheetView>
  </sheetViews>
  <sheetFormatPr defaultRowHeight="15"/>
  <cols>
    <col min="1" max="1" width="9.140625" style="3"/>
    <col min="2" max="2" width="33" style="1" customWidth="1"/>
    <col min="3" max="3" width="9.140625" style="1"/>
    <col min="4" max="5" width="10" style="3" hidden="1" customWidth="1"/>
    <col min="6" max="7" width="9.140625" style="1" hidden="1" customWidth="1"/>
    <col min="8" max="8" width="11.7109375" style="1" bestFit="1" customWidth="1"/>
    <col min="9" max="9" width="16.85546875" style="1" customWidth="1"/>
    <col min="10" max="10" width="62.42578125" style="1" customWidth="1"/>
    <col min="11" max="16384" width="9.140625" style="1"/>
  </cols>
  <sheetData>
    <row r="1" spans="1:10">
      <c r="A1" s="4" t="s">
        <v>354</v>
      </c>
    </row>
    <row r="2" spans="1:10">
      <c r="A2" s="4" t="s">
        <v>53</v>
      </c>
      <c r="C2" s="1" t="str">
        <f>CONCATENATE(I5,I6,I7,I8,I9,I10,I11,I12)</f>
        <v>/10823CC</v>
      </c>
    </row>
    <row r="3" spans="1:10">
      <c r="A3" s="17"/>
      <c r="B3" s="18" t="s">
        <v>20</v>
      </c>
      <c r="C3" s="17" t="s">
        <v>133</v>
      </c>
      <c r="D3" s="17" t="s">
        <v>143</v>
      </c>
      <c r="E3" s="17" t="s">
        <v>144</v>
      </c>
      <c r="F3" s="17" t="s">
        <v>19</v>
      </c>
      <c r="G3" s="17" t="s">
        <v>18</v>
      </c>
      <c r="H3" s="17" t="s">
        <v>17</v>
      </c>
      <c r="I3" s="17"/>
      <c r="J3" s="17" t="s">
        <v>16</v>
      </c>
    </row>
    <row r="4" spans="1:10">
      <c r="A4" s="14"/>
      <c r="B4" s="15" t="s">
        <v>145</v>
      </c>
      <c r="C4" s="14">
        <f>SUM(C5:C12)</f>
        <v>8</v>
      </c>
      <c r="D4" s="14"/>
      <c r="E4" s="14"/>
      <c r="F4" s="14"/>
      <c r="G4" s="14"/>
      <c r="H4" s="14"/>
      <c r="I4" s="14"/>
      <c r="J4" s="15"/>
    </row>
    <row r="5" spans="1:10">
      <c r="A5" s="12">
        <v>0</v>
      </c>
      <c r="B5" s="10" t="s">
        <v>15</v>
      </c>
      <c r="C5" s="12">
        <v>1</v>
      </c>
      <c r="D5" s="12">
        <v>0</v>
      </c>
      <c r="E5" s="12">
        <f t="shared" ref="E5:E12" si="0">IF(C5&gt;0,D5+C5-1,"")</f>
        <v>0</v>
      </c>
      <c r="F5" s="12">
        <v>0</v>
      </c>
      <c r="G5" s="12" t="s">
        <v>69</v>
      </c>
      <c r="H5" s="12" t="s">
        <v>2</v>
      </c>
      <c r="I5" s="11" t="s">
        <v>14</v>
      </c>
      <c r="J5" s="10" t="s">
        <v>13</v>
      </c>
    </row>
    <row r="6" spans="1:10">
      <c r="A6" s="7">
        <v>1</v>
      </c>
      <c r="B6" s="10" t="s">
        <v>136</v>
      </c>
      <c r="C6" s="12">
        <v>1</v>
      </c>
      <c r="D6" s="12">
        <f>IF(C7&gt;0,E5+1,"")</f>
        <v>1</v>
      </c>
      <c r="E6" s="7">
        <f t="shared" si="0"/>
        <v>1</v>
      </c>
      <c r="F6" s="12">
        <v>0</v>
      </c>
      <c r="G6" s="12" t="s">
        <v>69</v>
      </c>
      <c r="H6" s="12" t="s">
        <v>2</v>
      </c>
      <c r="I6" s="11">
        <v>1</v>
      </c>
      <c r="J6" s="48" t="s">
        <v>138</v>
      </c>
    </row>
    <row r="7" spans="1:10">
      <c r="A7" s="7">
        <v>2</v>
      </c>
      <c r="B7" s="8" t="s">
        <v>12</v>
      </c>
      <c r="C7" s="7">
        <v>1</v>
      </c>
      <c r="D7" s="7">
        <f t="shared" ref="D7:D12" si="1">IF(C7&gt;0,E6+1,"")</f>
        <v>2</v>
      </c>
      <c r="E7" s="7">
        <f t="shared" si="0"/>
        <v>2</v>
      </c>
      <c r="F7" s="7">
        <v>0</v>
      </c>
      <c r="G7" s="7" t="s">
        <v>69</v>
      </c>
      <c r="H7" s="7" t="s">
        <v>2</v>
      </c>
      <c r="I7" s="9" t="str">
        <f>DEC2HEX(INT(C4/16),1)</f>
        <v>0</v>
      </c>
      <c r="J7" s="75" t="s">
        <v>140</v>
      </c>
    </row>
    <row r="8" spans="1:10">
      <c r="A8" s="7">
        <v>3</v>
      </c>
      <c r="B8" s="8" t="s">
        <v>10</v>
      </c>
      <c r="C8" s="7">
        <v>1</v>
      </c>
      <c r="D8" s="7">
        <f t="shared" si="1"/>
        <v>3</v>
      </c>
      <c r="E8" s="7">
        <f t="shared" si="0"/>
        <v>3</v>
      </c>
      <c r="F8" s="7">
        <v>8</v>
      </c>
      <c r="G8" s="7" t="s">
        <v>69</v>
      </c>
      <c r="H8" s="7" t="s">
        <v>2</v>
      </c>
      <c r="I8" s="9" t="str">
        <f>DEC2HEX(MOD(C4,16),1)</f>
        <v>8</v>
      </c>
      <c r="J8" s="76"/>
    </row>
    <row r="9" spans="1:10">
      <c r="A9" s="7">
        <v>4</v>
      </c>
      <c r="B9" s="8" t="s">
        <v>9</v>
      </c>
      <c r="C9" s="7">
        <v>1</v>
      </c>
      <c r="D9" s="7">
        <f t="shared" si="1"/>
        <v>4</v>
      </c>
      <c r="E9" s="7">
        <f t="shared" si="0"/>
        <v>4</v>
      </c>
      <c r="F9" s="7">
        <v>0</v>
      </c>
      <c r="G9" s="7" t="s">
        <v>69</v>
      </c>
      <c r="H9" s="7" t="s">
        <v>2</v>
      </c>
      <c r="I9" s="7">
        <v>2</v>
      </c>
      <c r="J9" s="73" t="s">
        <v>234</v>
      </c>
    </row>
    <row r="10" spans="1:10">
      <c r="A10" s="7">
        <v>5</v>
      </c>
      <c r="B10" s="8" t="s">
        <v>8</v>
      </c>
      <c r="C10" s="7">
        <v>1</v>
      </c>
      <c r="D10" s="7">
        <f t="shared" si="1"/>
        <v>5</v>
      </c>
      <c r="E10" s="7">
        <f t="shared" si="0"/>
        <v>5</v>
      </c>
      <c r="F10" s="7">
        <v>0</v>
      </c>
      <c r="G10" s="7" t="s">
        <v>69</v>
      </c>
      <c r="H10" s="7" t="s">
        <v>2</v>
      </c>
      <c r="I10" s="32">
        <v>3</v>
      </c>
      <c r="J10" s="74"/>
    </row>
    <row r="11" spans="1:10">
      <c r="A11" s="7">
        <v>6</v>
      </c>
      <c r="B11" s="8" t="s">
        <v>7</v>
      </c>
      <c r="C11" s="7">
        <v>1</v>
      </c>
      <c r="D11" s="7">
        <f t="shared" si="1"/>
        <v>6</v>
      </c>
      <c r="E11" s="7">
        <f t="shared" si="0"/>
        <v>6</v>
      </c>
      <c r="F11" s="7">
        <v>0</v>
      </c>
      <c r="G11" s="7" t="s">
        <v>69</v>
      </c>
      <c r="H11" s="7" t="s">
        <v>2</v>
      </c>
      <c r="I11" s="7" t="s">
        <v>175</v>
      </c>
      <c r="J11" s="75" t="s">
        <v>6</v>
      </c>
    </row>
    <row r="12" spans="1:10">
      <c r="A12" s="49">
        <v>7</v>
      </c>
      <c r="B12" s="50" t="s">
        <v>5</v>
      </c>
      <c r="C12" s="5">
        <v>1</v>
      </c>
      <c r="D12" s="5">
        <f t="shared" si="1"/>
        <v>7</v>
      </c>
      <c r="E12" s="5">
        <f t="shared" si="0"/>
        <v>7</v>
      </c>
      <c r="F12" s="5">
        <v>0</v>
      </c>
      <c r="G12" s="5" t="s">
        <v>69</v>
      </c>
      <c r="H12" s="5" t="s">
        <v>2</v>
      </c>
      <c r="I12" s="5" t="s">
        <v>175</v>
      </c>
      <c r="J12" s="93"/>
    </row>
    <row r="13" spans="1:10">
      <c r="C13" s="3"/>
      <c r="F13" s="3"/>
      <c r="G13" s="3"/>
      <c r="H13" s="3"/>
      <c r="I13" s="3"/>
    </row>
    <row r="15" spans="1:10">
      <c r="A15" s="4" t="s">
        <v>54</v>
      </c>
      <c r="D15" s="1"/>
      <c r="E15" s="1"/>
      <c r="J15" s="2"/>
    </row>
    <row r="16" spans="1:10">
      <c r="A16" s="4" t="s">
        <v>50</v>
      </c>
      <c r="C16" s="1" t="str">
        <f>CONCATENATE("/",1,2,2,2,5,"F","F",0,1,0,0,0,0,0,0,0,0,0,0,0,0,0,1,0,0,0,0,0,0,0,0,0,1)</f>
        <v>/12225FF01000000000000010000000001</v>
      </c>
      <c r="D16" s="1"/>
      <c r="E16" s="1"/>
      <c r="J16" s="2"/>
    </row>
    <row r="17" spans="1:10">
      <c r="A17" s="17"/>
      <c r="B17" s="18" t="s">
        <v>20</v>
      </c>
      <c r="C17" s="17" t="s">
        <v>133</v>
      </c>
      <c r="D17" s="17" t="s">
        <v>143</v>
      </c>
      <c r="E17" s="17" t="s">
        <v>144</v>
      </c>
      <c r="F17" s="17" t="s">
        <v>19</v>
      </c>
      <c r="G17" s="17" t="s">
        <v>18</v>
      </c>
      <c r="H17" s="17" t="s">
        <v>17</v>
      </c>
      <c r="I17" s="17"/>
      <c r="J17" s="16" t="s">
        <v>16</v>
      </c>
    </row>
    <row r="18" spans="1:10">
      <c r="A18" s="14"/>
      <c r="B18" s="15" t="s">
        <v>145</v>
      </c>
      <c r="C18" s="14">
        <f>SUM(C19:C60)</f>
        <v>42</v>
      </c>
      <c r="D18" s="14"/>
      <c r="E18" s="14"/>
      <c r="F18" s="14"/>
      <c r="G18" s="14"/>
      <c r="H18" s="14"/>
      <c r="I18" s="14"/>
      <c r="J18" s="13"/>
    </row>
    <row r="19" spans="1:10">
      <c r="A19" s="12">
        <v>0</v>
      </c>
      <c r="B19" s="10" t="s">
        <v>15</v>
      </c>
      <c r="C19" s="12">
        <v>1</v>
      </c>
      <c r="D19" s="12">
        <v>0</v>
      </c>
      <c r="E19" s="12">
        <f t="shared" ref="E19:E32" si="2">IF(C19&gt;0,D19+C19-1,"")</f>
        <v>0</v>
      </c>
      <c r="F19" s="11" t="s">
        <v>14</v>
      </c>
      <c r="G19" s="11" t="s">
        <v>14</v>
      </c>
      <c r="H19" s="12" t="s">
        <v>2</v>
      </c>
      <c r="I19" s="11" t="s">
        <v>14</v>
      </c>
      <c r="J19" s="21"/>
    </row>
    <row r="20" spans="1:10" ht="15" customHeight="1">
      <c r="A20" s="7">
        <v>1</v>
      </c>
      <c r="B20" s="10" t="s">
        <v>136</v>
      </c>
      <c r="C20" s="12">
        <v>1</v>
      </c>
      <c r="D20" s="12">
        <f>IF(C21&gt;0,E19+1,"")</f>
        <v>1</v>
      </c>
      <c r="E20" s="7">
        <f t="shared" si="2"/>
        <v>1</v>
      </c>
      <c r="F20" s="12">
        <v>0</v>
      </c>
      <c r="G20" s="12" t="s">
        <v>69</v>
      </c>
      <c r="H20" s="12" t="s">
        <v>2</v>
      </c>
      <c r="I20" s="11">
        <v>1</v>
      </c>
      <c r="J20" s="48" t="s">
        <v>138</v>
      </c>
    </row>
    <row r="21" spans="1:10">
      <c r="A21" s="7">
        <v>2</v>
      </c>
      <c r="B21" s="8" t="s">
        <v>12</v>
      </c>
      <c r="C21" s="7">
        <v>1</v>
      </c>
      <c r="D21" s="7">
        <f t="shared" ref="D21:D26" si="3">IF(C21&gt;0,E20+1,"")</f>
        <v>2</v>
      </c>
      <c r="E21" s="7">
        <f t="shared" si="2"/>
        <v>2</v>
      </c>
      <c r="F21" s="7">
        <v>0</v>
      </c>
      <c r="G21" s="7"/>
      <c r="H21" s="7" t="s">
        <v>2</v>
      </c>
      <c r="I21" s="9">
        <f>INT(C18/16)</f>
        <v>2</v>
      </c>
      <c r="J21" s="75" t="s">
        <v>140</v>
      </c>
    </row>
    <row r="22" spans="1:10">
      <c r="A22" s="7">
        <v>3</v>
      </c>
      <c r="B22" s="8" t="s">
        <v>10</v>
      </c>
      <c r="C22" s="7">
        <v>1</v>
      </c>
      <c r="D22" s="7">
        <f t="shared" si="3"/>
        <v>3</v>
      </c>
      <c r="E22" s="7">
        <f t="shared" si="2"/>
        <v>3</v>
      </c>
      <c r="F22" s="7">
        <v>8</v>
      </c>
      <c r="G22" s="7"/>
      <c r="H22" s="7" t="s">
        <v>2</v>
      </c>
      <c r="I22" s="9" t="str">
        <f>DEC2HEX(MOD(C18,16))</f>
        <v>A</v>
      </c>
      <c r="J22" s="76"/>
    </row>
    <row r="23" spans="1:10">
      <c r="A23" s="7">
        <v>4</v>
      </c>
      <c r="B23" s="8" t="s">
        <v>9</v>
      </c>
      <c r="C23" s="7">
        <v>1</v>
      </c>
      <c r="D23" s="7">
        <f t="shared" si="3"/>
        <v>4</v>
      </c>
      <c r="E23" s="7">
        <f t="shared" si="2"/>
        <v>4</v>
      </c>
      <c r="F23" s="7">
        <v>0</v>
      </c>
      <c r="G23" s="7"/>
      <c r="H23" s="7" t="s">
        <v>2</v>
      </c>
      <c r="I23" s="7">
        <v>2</v>
      </c>
      <c r="J23" s="73"/>
    </row>
    <row r="24" spans="1:10">
      <c r="A24" s="7">
        <v>5</v>
      </c>
      <c r="B24" s="8" t="s">
        <v>8</v>
      </c>
      <c r="C24" s="7">
        <v>1</v>
      </c>
      <c r="D24" s="7">
        <f t="shared" si="3"/>
        <v>5</v>
      </c>
      <c r="E24" s="7">
        <f t="shared" si="2"/>
        <v>5</v>
      </c>
      <c r="F24" s="7">
        <v>0</v>
      </c>
      <c r="G24" s="7"/>
      <c r="H24" s="7" t="s">
        <v>2</v>
      </c>
      <c r="I24" s="7">
        <v>3</v>
      </c>
      <c r="J24" s="74"/>
    </row>
    <row r="25" spans="1:10" ht="14.25" customHeight="1">
      <c r="A25" s="7">
        <v>6</v>
      </c>
      <c r="B25" s="8" t="s">
        <v>7</v>
      </c>
      <c r="C25" s="7">
        <v>1</v>
      </c>
      <c r="D25" s="7">
        <f t="shared" si="3"/>
        <v>6</v>
      </c>
      <c r="E25" s="7">
        <f t="shared" si="2"/>
        <v>6</v>
      </c>
      <c r="F25" s="7">
        <v>0</v>
      </c>
      <c r="G25" s="7"/>
      <c r="H25" s="7" t="s">
        <v>2</v>
      </c>
      <c r="I25" s="7" t="s">
        <v>69</v>
      </c>
      <c r="J25" s="75" t="s">
        <v>6</v>
      </c>
    </row>
    <row r="26" spans="1:10">
      <c r="A26" s="7">
        <v>7</v>
      </c>
      <c r="B26" s="8" t="s">
        <v>5</v>
      </c>
      <c r="C26" s="7">
        <v>1</v>
      </c>
      <c r="D26" s="7">
        <f t="shared" si="3"/>
        <v>7</v>
      </c>
      <c r="E26" s="7">
        <f t="shared" si="2"/>
        <v>7</v>
      </c>
      <c r="F26" s="7">
        <v>0</v>
      </c>
      <c r="G26" s="7"/>
      <c r="H26" s="7" t="s">
        <v>2</v>
      </c>
      <c r="I26" s="7" t="s">
        <v>69</v>
      </c>
      <c r="J26" s="76"/>
    </row>
    <row r="27" spans="1:10">
      <c r="A27" s="7">
        <v>8</v>
      </c>
      <c r="B27" s="8" t="s">
        <v>4</v>
      </c>
      <c r="C27" s="7">
        <v>1</v>
      </c>
      <c r="D27" s="7">
        <f>IF(C27&gt;0,D26+1,"")</f>
        <v>8</v>
      </c>
      <c r="E27" s="7">
        <f t="shared" si="2"/>
        <v>8</v>
      </c>
      <c r="F27" s="7">
        <v>1</v>
      </c>
      <c r="G27" s="7"/>
      <c r="H27" s="7" t="s">
        <v>2</v>
      </c>
      <c r="I27" s="7">
        <v>0</v>
      </c>
      <c r="J27" s="73" t="s">
        <v>258</v>
      </c>
    </row>
    <row r="28" spans="1:10">
      <c r="A28" s="7">
        <v>9</v>
      </c>
      <c r="B28" s="8" t="s">
        <v>3</v>
      </c>
      <c r="C28" s="7">
        <v>1</v>
      </c>
      <c r="D28" s="7">
        <f>IF(C28&gt;0,D27+1,"")</f>
        <v>9</v>
      </c>
      <c r="E28" s="7">
        <f t="shared" si="2"/>
        <v>9</v>
      </c>
      <c r="F28" s="7">
        <v>1</v>
      </c>
      <c r="G28" s="7"/>
      <c r="H28" s="7" t="s">
        <v>2</v>
      </c>
      <c r="I28" s="7">
        <v>1</v>
      </c>
      <c r="J28" s="74"/>
    </row>
    <row r="29" spans="1:10">
      <c r="A29" s="7">
        <v>10</v>
      </c>
      <c r="B29" s="8" t="s">
        <v>384</v>
      </c>
      <c r="C29" s="7">
        <v>1</v>
      </c>
      <c r="D29" s="7" t="e">
        <f>IF(C29&gt;0,#REF!+1,"")</f>
        <v>#REF!</v>
      </c>
      <c r="E29" s="7" t="e">
        <f t="shared" si="2"/>
        <v>#REF!</v>
      </c>
      <c r="F29" s="7">
        <v>0</v>
      </c>
      <c r="G29" s="7"/>
      <c r="H29" s="7" t="s">
        <v>2</v>
      </c>
      <c r="I29" s="7">
        <v>0</v>
      </c>
      <c r="J29" s="75" t="s">
        <v>356</v>
      </c>
    </row>
    <row r="30" spans="1:10">
      <c r="A30" s="7">
        <v>11</v>
      </c>
      <c r="B30" s="8" t="s">
        <v>385</v>
      </c>
      <c r="C30" s="7">
        <v>1</v>
      </c>
      <c r="D30" s="7">
        <f>IF(C30&gt;0,E27+1,"")</f>
        <v>9</v>
      </c>
      <c r="E30" s="7">
        <f t="shared" si="2"/>
        <v>9</v>
      </c>
      <c r="F30" s="7">
        <v>0</v>
      </c>
      <c r="G30" s="7"/>
      <c r="H30" s="7" t="s">
        <v>2</v>
      </c>
      <c r="I30" s="7">
        <v>0</v>
      </c>
      <c r="J30" s="101"/>
    </row>
    <row r="31" spans="1:10">
      <c r="A31" s="7">
        <v>12</v>
      </c>
      <c r="B31" s="8" t="s">
        <v>386</v>
      </c>
      <c r="C31" s="7">
        <v>1</v>
      </c>
      <c r="D31" s="7">
        <f>IF(C31&gt;0,E28+1,"")</f>
        <v>10</v>
      </c>
      <c r="E31" s="7">
        <f t="shared" si="2"/>
        <v>10</v>
      </c>
      <c r="F31" s="7">
        <v>0</v>
      </c>
      <c r="G31" s="7"/>
      <c r="H31" s="7" t="s">
        <v>2</v>
      </c>
      <c r="I31" s="7">
        <v>0</v>
      </c>
      <c r="J31" s="101"/>
    </row>
    <row r="32" spans="1:10">
      <c r="A32" s="7">
        <v>13</v>
      </c>
      <c r="B32" s="8" t="s">
        <v>387</v>
      </c>
      <c r="C32" s="7">
        <v>1</v>
      </c>
      <c r="D32" s="7">
        <f t="shared" ref="D32" si="4">IF(C32&gt;0,E30+1,"")</f>
        <v>10</v>
      </c>
      <c r="E32" s="7">
        <f t="shared" si="2"/>
        <v>10</v>
      </c>
      <c r="F32" s="7">
        <v>0</v>
      </c>
      <c r="G32" s="7"/>
      <c r="H32" s="7" t="s">
        <v>2</v>
      </c>
      <c r="I32" s="7">
        <v>0</v>
      </c>
      <c r="J32" s="76"/>
    </row>
    <row r="33" spans="1:10" ht="15" customHeight="1">
      <c r="A33" s="12">
        <v>14</v>
      </c>
      <c r="B33" s="10" t="s">
        <v>389</v>
      </c>
      <c r="C33" s="12">
        <v>1</v>
      </c>
      <c r="D33" s="12"/>
      <c r="E33" s="12"/>
      <c r="F33" s="12"/>
      <c r="G33" s="12"/>
      <c r="H33" s="12" t="s">
        <v>2</v>
      </c>
      <c r="I33" s="12">
        <v>0</v>
      </c>
      <c r="J33" s="100" t="s">
        <v>392</v>
      </c>
    </row>
    <row r="34" spans="1:10" ht="15" customHeight="1">
      <c r="A34" s="7">
        <v>15</v>
      </c>
      <c r="B34" s="8" t="s">
        <v>390</v>
      </c>
      <c r="C34" s="7">
        <v>1</v>
      </c>
      <c r="D34" s="7"/>
      <c r="E34" s="7"/>
      <c r="F34" s="7"/>
      <c r="G34" s="7"/>
      <c r="H34" s="7" t="s">
        <v>2</v>
      </c>
      <c r="I34" s="7">
        <v>1</v>
      </c>
      <c r="J34" s="100"/>
    </row>
    <row r="35" spans="1:10" ht="15" customHeight="1">
      <c r="A35" s="7">
        <v>16</v>
      </c>
      <c r="B35" s="8" t="s">
        <v>390</v>
      </c>
      <c r="C35" s="7">
        <v>1</v>
      </c>
      <c r="D35" s="7"/>
      <c r="E35" s="7"/>
      <c r="F35" s="7"/>
      <c r="G35" s="7"/>
      <c r="H35" s="7" t="s">
        <v>2</v>
      </c>
      <c r="I35" s="7">
        <v>1</v>
      </c>
      <c r="J35" s="100"/>
    </row>
    <row r="36" spans="1:10" ht="15" customHeight="1">
      <c r="A36" s="7">
        <v>17</v>
      </c>
      <c r="B36" s="8" t="s">
        <v>391</v>
      </c>
      <c r="C36" s="7">
        <v>1</v>
      </c>
      <c r="D36" s="7"/>
      <c r="E36" s="7"/>
      <c r="F36" s="7"/>
      <c r="G36" s="7"/>
      <c r="H36" s="7" t="s">
        <v>2</v>
      </c>
      <c r="I36" s="7">
        <v>1</v>
      </c>
      <c r="J36" s="91"/>
    </row>
    <row r="37" spans="1:10">
      <c r="A37" s="7">
        <v>18</v>
      </c>
      <c r="B37" s="8" t="s">
        <v>448</v>
      </c>
      <c r="C37" s="7">
        <v>1</v>
      </c>
      <c r="D37" s="7" t="e">
        <f>IF(C37&gt;0,#REF!+1,"")</f>
        <v>#REF!</v>
      </c>
      <c r="E37" s="7" t="e">
        <f t="shared" ref="E37:E40" si="5">IF(C37&gt;0,D37+C37-1,"")</f>
        <v>#REF!</v>
      </c>
      <c r="F37" s="7">
        <v>0</v>
      </c>
      <c r="G37" s="7"/>
      <c r="H37" s="7" t="s">
        <v>2</v>
      </c>
      <c r="I37" s="7">
        <v>0</v>
      </c>
      <c r="J37" s="75" t="s">
        <v>356</v>
      </c>
    </row>
    <row r="38" spans="1:10">
      <c r="A38" s="7">
        <v>19</v>
      </c>
      <c r="B38" s="8" t="s">
        <v>449</v>
      </c>
      <c r="C38" s="7">
        <v>1</v>
      </c>
      <c r="D38" s="7">
        <f>IF(C38&gt;0,E35+1,"")</f>
        <v>1</v>
      </c>
      <c r="E38" s="7">
        <f t="shared" si="5"/>
        <v>1</v>
      </c>
      <c r="F38" s="7">
        <v>0</v>
      </c>
      <c r="G38" s="7"/>
      <c r="H38" s="7" t="s">
        <v>2</v>
      </c>
      <c r="I38" s="7">
        <v>0</v>
      </c>
      <c r="J38" s="101"/>
    </row>
    <row r="39" spans="1:10">
      <c r="A39" s="7">
        <v>20</v>
      </c>
      <c r="B39" s="8" t="s">
        <v>450</v>
      </c>
      <c r="C39" s="7">
        <v>1</v>
      </c>
      <c r="D39" s="7">
        <f>IF(C39&gt;0,E36+1,"")</f>
        <v>1</v>
      </c>
      <c r="E39" s="7">
        <f t="shared" si="5"/>
        <v>1</v>
      </c>
      <c r="F39" s="7">
        <v>0</v>
      </c>
      <c r="G39" s="7"/>
      <c r="H39" s="7" t="s">
        <v>2</v>
      </c>
      <c r="I39" s="7">
        <v>0</v>
      </c>
      <c r="J39" s="101"/>
    </row>
    <row r="40" spans="1:10">
      <c r="A40" s="7">
        <v>21</v>
      </c>
      <c r="B40" s="8" t="s">
        <v>451</v>
      </c>
      <c r="C40" s="7">
        <v>1</v>
      </c>
      <c r="D40" s="7">
        <f t="shared" ref="D40" si="6">IF(C40&gt;0,E38+1,"")</f>
        <v>2</v>
      </c>
      <c r="E40" s="7">
        <f t="shared" si="5"/>
        <v>2</v>
      </c>
      <c r="F40" s="7">
        <v>0</v>
      </c>
      <c r="G40" s="7"/>
      <c r="H40" s="7" t="s">
        <v>2</v>
      </c>
      <c r="I40" s="7">
        <v>0</v>
      </c>
      <c r="J40" s="76"/>
    </row>
    <row r="41" spans="1:10" ht="15" customHeight="1">
      <c r="A41" s="12">
        <v>22</v>
      </c>
      <c r="B41" s="10" t="s">
        <v>452</v>
      </c>
      <c r="C41" s="12">
        <v>1</v>
      </c>
      <c r="D41" s="12"/>
      <c r="E41" s="12"/>
      <c r="F41" s="12"/>
      <c r="G41" s="12"/>
      <c r="H41" s="12" t="s">
        <v>2</v>
      </c>
      <c r="I41" s="12">
        <v>0</v>
      </c>
      <c r="J41" s="100" t="s">
        <v>392</v>
      </c>
    </row>
    <row r="42" spans="1:10" ht="15" customHeight="1">
      <c r="A42" s="7">
        <v>23</v>
      </c>
      <c r="B42" s="8" t="s">
        <v>453</v>
      </c>
      <c r="C42" s="7">
        <v>1</v>
      </c>
      <c r="D42" s="7"/>
      <c r="E42" s="7"/>
      <c r="F42" s="7"/>
      <c r="G42" s="7"/>
      <c r="H42" s="7" t="s">
        <v>2</v>
      </c>
      <c r="I42" s="7">
        <v>1</v>
      </c>
      <c r="J42" s="100"/>
    </row>
    <row r="43" spans="1:10" ht="15" customHeight="1">
      <c r="A43" s="7">
        <v>24</v>
      </c>
      <c r="B43" s="8" t="s">
        <v>453</v>
      </c>
      <c r="C43" s="7">
        <v>1</v>
      </c>
      <c r="D43" s="7"/>
      <c r="E43" s="7"/>
      <c r="F43" s="7"/>
      <c r="G43" s="7"/>
      <c r="H43" s="7" t="s">
        <v>2</v>
      </c>
      <c r="I43" s="7">
        <v>1</v>
      </c>
      <c r="J43" s="100"/>
    </row>
    <row r="44" spans="1:10" ht="15" customHeight="1">
      <c r="A44" s="7">
        <v>25</v>
      </c>
      <c r="B44" s="8" t="s">
        <v>454</v>
      </c>
      <c r="C44" s="7">
        <v>1</v>
      </c>
      <c r="D44" s="7"/>
      <c r="E44" s="7"/>
      <c r="F44" s="7"/>
      <c r="G44" s="7"/>
      <c r="H44" s="7" t="s">
        <v>2</v>
      </c>
      <c r="I44" s="7">
        <v>1</v>
      </c>
      <c r="J44" s="91"/>
    </row>
    <row r="45" spans="1:10">
      <c r="A45" s="7">
        <v>26</v>
      </c>
      <c r="B45" s="8" t="s">
        <v>380</v>
      </c>
      <c r="C45" s="7">
        <v>1</v>
      </c>
      <c r="D45" s="7" t="e">
        <f>IF(C45&gt;0,#REF!+1,"")</f>
        <v>#REF!</v>
      </c>
      <c r="E45" s="7" t="e">
        <f t="shared" ref="E45:E48" si="7">IF(C45&gt;0,D45+C45-1,"")</f>
        <v>#REF!</v>
      </c>
      <c r="F45" s="7">
        <v>0</v>
      </c>
      <c r="G45" s="7"/>
      <c r="H45" s="7" t="s">
        <v>2</v>
      </c>
      <c r="I45" s="7">
        <v>0</v>
      </c>
      <c r="J45" s="75" t="s">
        <v>367</v>
      </c>
    </row>
    <row r="46" spans="1:10">
      <c r="A46" s="7">
        <v>27</v>
      </c>
      <c r="B46" s="8" t="s">
        <v>381</v>
      </c>
      <c r="C46" s="7">
        <v>1</v>
      </c>
      <c r="D46" s="7" t="e">
        <f>IF(C46&gt;0,#REF!+1,"")</f>
        <v>#REF!</v>
      </c>
      <c r="E46" s="7" t="e">
        <f t="shared" si="7"/>
        <v>#REF!</v>
      </c>
      <c r="F46" s="7">
        <v>0</v>
      </c>
      <c r="G46" s="7"/>
      <c r="H46" s="7" t="s">
        <v>2</v>
      </c>
      <c r="I46" s="7">
        <v>0</v>
      </c>
      <c r="J46" s="101"/>
    </row>
    <row r="47" spans="1:10">
      <c r="A47" s="7">
        <v>28</v>
      </c>
      <c r="B47" s="8" t="s">
        <v>382</v>
      </c>
      <c r="C47" s="7">
        <v>1</v>
      </c>
      <c r="D47" s="7" t="e">
        <f>IF(C47&gt;0,#REF!+1,"")</f>
        <v>#REF!</v>
      </c>
      <c r="E47" s="7" t="e">
        <f t="shared" si="7"/>
        <v>#REF!</v>
      </c>
      <c r="F47" s="7">
        <v>0</v>
      </c>
      <c r="G47" s="7"/>
      <c r="H47" s="7" t="s">
        <v>2</v>
      </c>
      <c r="I47" s="7">
        <v>0</v>
      </c>
      <c r="J47" s="101"/>
    </row>
    <row r="48" spans="1:10">
      <c r="A48" s="7">
        <v>29</v>
      </c>
      <c r="B48" s="8" t="s">
        <v>383</v>
      </c>
      <c r="C48" s="7">
        <v>1</v>
      </c>
      <c r="D48" s="7" t="e">
        <f t="shared" ref="D48" si="8">IF(C48&gt;0,E46+1,"")</f>
        <v>#REF!</v>
      </c>
      <c r="E48" s="7" t="e">
        <f t="shared" si="7"/>
        <v>#REF!</v>
      </c>
      <c r="F48" s="7">
        <v>0</v>
      </c>
      <c r="G48" s="7"/>
      <c r="H48" s="7" t="s">
        <v>2</v>
      </c>
      <c r="I48" s="7">
        <v>0</v>
      </c>
      <c r="J48" s="76"/>
    </row>
    <row r="49" spans="1:10">
      <c r="A49" s="7">
        <v>30</v>
      </c>
      <c r="B49" s="8" t="s">
        <v>357</v>
      </c>
      <c r="C49" s="7">
        <v>1</v>
      </c>
      <c r="D49" s="7" t="e">
        <f>IF(C49&gt;0,#REF!+1,"")</f>
        <v>#REF!</v>
      </c>
      <c r="E49" s="7" t="e">
        <f t="shared" ref="E49:E56" si="9">IF(C49&gt;0,D49+C49-1,"")</f>
        <v>#REF!</v>
      </c>
      <c r="F49" s="7">
        <v>0</v>
      </c>
      <c r="G49" s="7"/>
      <c r="H49" s="7" t="s">
        <v>2</v>
      </c>
      <c r="I49" s="7">
        <v>0</v>
      </c>
      <c r="J49" s="96" t="s">
        <v>368</v>
      </c>
    </row>
    <row r="50" spans="1:10">
      <c r="A50" s="7">
        <v>31</v>
      </c>
      <c r="B50" s="8" t="s">
        <v>358</v>
      </c>
      <c r="C50" s="7">
        <v>1</v>
      </c>
      <c r="D50" s="7" t="e">
        <f>IF(C50&gt;0,#REF!+1,"")</f>
        <v>#REF!</v>
      </c>
      <c r="E50" s="7" t="e">
        <f t="shared" si="9"/>
        <v>#REF!</v>
      </c>
      <c r="F50" s="7">
        <v>0</v>
      </c>
      <c r="G50" s="7"/>
      <c r="H50" s="7" t="s">
        <v>2</v>
      </c>
      <c r="I50" s="7">
        <v>0</v>
      </c>
      <c r="J50" s="96"/>
    </row>
    <row r="51" spans="1:10">
      <c r="A51" s="7">
        <v>32</v>
      </c>
      <c r="B51" s="8" t="s">
        <v>358</v>
      </c>
      <c r="C51" s="7">
        <v>1</v>
      </c>
      <c r="D51" s="7" t="e">
        <f>IF(C51&gt;0,#REF!+1,"")</f>
        <v>#REF!</v>
      </c>
      <c r="E51" s="7" t="e">
        <f t="shared" si="9"/>
        <v>#REF!</v>
      </c>
      <c r="F51" s="7">
        <v>0</v>
      </c>
      <c r="G51" s="7"/>
      <c r="H51" s="7" t="s">
        <v>2</v>
      </c>
      <c r="I51" s="7">
        <v>0</v>
      </c>
      <c r="J51" s="101"/>
    </row>
    <row r="52" spans="1:10">
      <c r="A52" s="7">
        <v>33</v>
      </c>
      <c r="B52" s="8" t="s">
        <v>359</v>
      </c>
      <c r="C52" s="7">
        <v>1</v>
      </c>
      <c r="D52" s="7" t="e">
        <f t="shared" ref="D52" si="10">IF(C52&gt;0,E51+1,"")</f>
        <v>#REF!</v>
      </c>
      <c r="E52" s="7" t="e">
        <f t="shared" si="9"/>
        <v>#REF!</v>
      </c>
      <c r="F52" s="7">
        <v>0</v>
      </c>
      <c r="G52" s="7"/>
      <c r="H52" s="7" t="s">
        <v>2</v>
      </c>
      <c r="I52" s="7">
        <v>0</v>
      </c>
      <c r="J52" s="76"/>
    </row>
    <row r="53" spans="1:10">
      <c r="A53" s="7">
        <v>34</v>
      </c>
      <c r="B53" s="8" t="s">
        <v>364</v>
      </c>
      <c r="C53" s="7">
        <v>1</v>
      </c>
      <c r="D53" s="7" t="e">
        <f>IF(C53&gt;0,#REF!+1,"")</f>
        <v>#REF!</v>
      </c>
      <c r="E53" s="7" t="e">
        <f t="shared" si="9"/>
        <v>#REF!</v>
      </c>
      <c r="F53" s="7">
        <v>0</v>
      </c>
      <c r="G53" s="7"/>
      <c r="H53" s="7" t="s">
        <v>2</v>
      </c>
      <c r="I53" s="7">
        <v>0</v>
      </c>
      <c r="J53" s="96" t="s">
        <v>369</v>
      </c>
    </row>
    <row r="54" spans="1:10">
      <c r="A54" s="7">
        <v>35</v>
      </c>
      <c r="B54" s="8" t="s">
        <v>365</v>
      </c>
      <c r="C54" s="7">
        <v>1</v>
      </c>
      <c r="D54" s="7" t="e">
        <f>IF(C54&gt;0,E47+1,"")</f>
        <v>#REF!</v>
      </c>
      <c r="E54" s="7" t="e">
        <f t="shared" si="9"/>
        <v>#REF!</v>
      </c>
      <c r="F54" s="7">
        <v>0</v>
      </c>
      <c r="G54" s="7"/>
      <c r="H54" s="7" t="s">
        <v>2</v>
      </c>
      <c r="I54" s="7">
        <v>0</v>
      </c>
      <c r="J54" s="96"/>
    </row>
    <row r="55" spans="1:10">
      <c r="A55" s="7">
        <v>36</v>
      </c>
      <c r="B55" s="8" t="s">
        <v>365</v>
      </c>
      <c r="C55" s="7">
        <v>1</v>
      </c>
      <c r="D55" s="7" t="e">
        <f>IF(C55&gt;0,E48+1,"")</f>
        <v>#REF!</v>
      </c>
      <c r="E55" s="7" t="e">
        <f t="shared" si="9"/>
        <v>#REF!</v>
      </c>
      <c r="F55" s="7">
        <v>0</v>
      </c>
      <c r="G55" s="7"/>
      <c r="H55" s="7" t="s">
        <v>2</v>
      </c>
      <c r="I55" s="7">
        <v>0</v>
      </c>
      <c r="J55" s="101"/>
    </row>
    <row r="56" spans="1:10">
      <c r="A56" s="7">
        <v>37</v>
      </c>
      <c r="B56" s="8" t="s">
        <v>366</v>
      </c>
      <c r="C56" s="7">
        <v>1</v>
      </c>
      <c r="D56" s="7" t="e">
        <f t="shared" ref="D56" si="11">IF(C56&gt;0,E55+1,"")</f>
        <v>#REF!</v>
      </c>
      <c r="E56" s="7" t="e">
        <f t="shared" si="9"/>
        <v>#REF!</v>
      </c>
      <c r="F56" s="7">
        <v>0</v>
      </c>
      <c r="G56" s="7"/>
      <c r="H56" s="7" t="s">
        <v>2</v>
      </c>
      <c r="I56" s="7">
        <v>0</v>
      </c>
      <c r="J56" s="76"/>
    </row>
    <row r="57" spans="1:10" ht="15" customHeight="1">
      <c r="A57" s="7">
        <v>38</v>
      </c>
      <c r="B57" s="8" t="s">
        <v>360</v>
      </c>
      <c r="C57" s="7">
        <v>1</v>
      </c>
      <c r="D57" s="7"/>
      <c r="E57" s="7"/>
      <c r="F57" s="7"/>
      <c r="G57" s="7"/>
      <c r="H57" s="7" t="s">
        <v>2</v>
      </c>
      <c r="I57" s="7">
        <v>0</v>
      </c>
      <c r="J57" s="78" t="s">
        <v>392</v>
      </c>
    </row>
    <row r="58" spans="1:10" ht="15" customHeight="1">
      <c r="A58" s="7">
        <v>39</v>
      </c>
      <c r="B58" s="8" t="s">
        <v>361</v>
      </c>
      <c r="C58" s="7">
        <v>1</v>
      </c>
      <c r="D58" s="7"/>
      <c r="E58" s="7"/>
      <c r="F58" s="7"/>
      <c r="G58" s="7"/>
      <c r="H58" s="7" t="s">
        <v>2</v>
      </c>
      <c r="I58" s="7">
        <v>0</v>
      </c>
      <c r="J58" s="100"/>
    </row>
    <row r="59" spans="1:10" ht="15" customHeight="1">
      <c r="A59" s="7">
        <v>40</v>
      </c>
      <c r="B59" s="8" t="s">
        <v>362</v>
      </c>
      <c r="C59" s="7">
        <v>1</v>
      </c>
      <c r="D59" s="7"/>
      <c r="E59" s="7"/>
      <c r="F59" s="7"/>
      <c r="G59" s="7"/>
      <c r="H59" s="7" t="s">
        <v>2</v>
      </c>
      <c r="I59" s="7">
        <v>0</v>
      </c>
      <c r="J59" s="100"/>
    </row>
    <row r="60" spans="1:10" ht="15" customHeight="1">
      <c r="A60" s="5">
        <v>41</v>
      </c>
      <c r="B60" s="6" t="s">
        <v>363</v>
      </c>
      <c r="C60" s="5">
        <v>1</v>
      </c>
      <c r="D60" s="5"/>
      <c r="E60" s="5"/>
      <c r="F60" s="5"/>
      <c r="G60" s="5"/>
      <c r="H60" s="5" t="s">
        <v>2</v>
      </c>
      <c r="I60" s="5">
        <v>1</v>
      </c>
      <c r="J60" s="92"/>
    </row>
  </sheetData>
  <sheetProtection selectLockedCells="1"/>
  <mergeCells count="15">
    <mergeCell ref="J57:J60"/>
    <mergeCell ref="J21:J22"/>
    <mergeCell ref="J23:J24"/>
    <mergeCell ref="J25:J26"/>
    <mergeCell ref="J27:J28"/>
    <mergeCell ref="J53:J56"/>
    <mergeCell ref="J45:J48"/>
    <mergeCell ref="J49:J52"/>
    <mergeCell ref="J37:J40"/>
    <mergeCell ref="J41:J44"/>
    <mergeCell ref="J7:J8"/>
    <mergeCell ref="J9:J10"/>
    <mergeCell ref="J11:J12"/>
    <mergeCell ref="J33:J36"/>
    <mergeCell ref="J29:J32"/>
  </mergeCells>
  <pageMargins left="0.7" right="0.7" top="0.75" bottom="0.75" header="0.3" footer="0.3"/>
  <pageSetup orientation="portrait" horizontalDpi="300" verticalDpi="30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2258A-F4DD-40B8-9DAD-AFDD8C78BC52}">
  <sheetPr codeName="Sheet11"/>
  <dimension ref="A1:N88"/>
  <sheetViews>
    <sheetView topLeftCell="A22" workbookViewId="0">
      <selection activeCell="J44" sqref="J44:J47"/>
    </sheetView>
  </sheetViews>
  <sheetFormatPr defaultRowHeight="15"/>
  <cols>
    <col min="1" max="1" width="9.140625" style="3"/>
    <col min="2" max="2" width="28.85546875" style="1" customWidth="1"/>
    <col min="3" max="3" width="9.140625" style="1"/>
    <col min="4" max="5" width="10" style="3" hidden="1" customWidth="1"/>
    <col min="6" max="7" width="0" style="1" hidden="1" customWidth="1"/>
    <col min="8" max="8" width="11.7109375" style="1" bestFit="1" customWidth="1"/>
    <col min="9" max="9" width="16.85546875" style="1" customWidth="1"/>
    <col min="10" max="10" width="62.42578125" style="1" customWidth="1"/>
    <col min="11" max="16384" width="9.140625" style="1"/>
  </cols>
  <sheetData>
    <row r="1" spans="1:10">
      <c r="A1" s="4" t="s">
        <v>403</v>
      </c>
    </row>
    <row r="2" spans="1:10">
      <c r="A2" s="4" t="s">
        <v>393</v>
      </c>
    </row>
    <row r="3" spans="1:10">
      <c r="A3" s="4"/>
      <c r="D3" s="1"/>
      <c r="E3" s="1"/>
      <c r="J3" s="2"/>
    </row>
    <row r="4" spans="1:10">
      <c r="A4" s="17"/>
      <c r="B4" s="18" t="s">
        <v>20</v>
      </c>
      <c r="C4" s="17" t="s">
        <v>133</v>
      </c>
      <c r="D4" s="17" t="s">
        <v>143</v>
      </c>
      <c r="E4" s="17" t="s">
        <v>144</v>
      </c>
      <c r="F4" s="17" t="s">
        <v>19</v>
      </c>
      <c r="G4" s="17" t="s">
        <v>18</v>
      </c>
      <c r="H4" s="17" t="s">
        <v>17</v>
      </c>
      <c r="I4" s="17" t="s">
        <v>141</v>
      </c>
      <c r="J4" s="17" t="s">
        <v>16</v>
      </c>
    </row>
    <row r="5" spans="1:10">
      <c r="A5" s="14"/>
      <c r="B5" s="15" t="s">
        <v>134</v>
      </c>
      <c r="C5" s="14">
        <f>SUM(C6:C23)</f>
        <v>18</v>
      </c>
      <c r="D5" s="14"/>
      <c r="E5" s="14"/>
      <c r="F5" s="14"/>
      <c r="G5" s="14"/>
      <c r="H5" s="14"/>
      <c r="I5" s="14"/>
      <c r="J5" s="13"/>
    </row>
    <row r="6" spans="1:10">
      <c r="A6" s="12">
        <v>0</v>
      </c>
      <c r="B6" s="10" t="s">
        <v>15</v>
      </c>
      <c r="C6" s="12">
        <v>1</v>
      </c>
      <c r="D6" s="12">
        <v>0</v>
      </c>
      <c r="E6" s="12">
        <f t="shared" ref="E6:E19" si="0">IF(C6&gt;0,D6+C6-1,"")</f>
        <v>0</v>
      </c>
      <c r="F6" s="12">
        <v>0</v>
      </c>
      <c r="G6" s="12"/>
      <c r="H6" s="12" t="s">
        <v>2</v>
      </c>
      <c r="I6" s="11" t="s">
        <v>14</v>
      </c>
      <c r="J6" s="10" t="s">
        <v>13</v>
      </c>
    </row>
    <row r="7" spans="1:10">
      <c r="A7" s="7">
        <v>1</v>
      </c>
      <c r="B7" s="10" t="s">
        <v>136</v>
      </c>
      <c r="C7" s="12">
        <v>1</v>
      </c>
      <c r="D7" s="12">
        <f>IF(C8&gt;0,E6+1,"")</f>
        <v>1</v>
      </c>
      <c r="E7" s="7">
        <f t="shared" si="0"/>
        <v>1</v>
      </c>
      <c r="F7" s="12">
        <v>0</v>
      </c>
      <c r="G7" s="12" t="s">
        <v>69</v>
      </c>
      <c r="H7" s="12" t="s">
        <v>2</v>
      </c>
      <c r="I7" s="11">
        <v>1</v>
      </c>
      <c r="J7" s="48" t="s">
        <v>138</v>
      </c>
    </row>
    <row r="8" spans="1:10">
      <c r="A8" s="7">
        <v>2</v>
      </c>
      <c r="B8" s="8" t="s">
        <v>12</v>
      </c>
      <c r="C8" s="7">
        <v>1</v>
      </c>
      <c r="D8" s="7">
        <f t="shared" ref="D8:D13" si="1">IF(C8&gt;0,E7+1,"")</f>
        <v>2</v>
      </c>
      <c r="E8" s="7">
        <f t="shared" si="0"/>
        <v>2</v>
      </c>
      <c r="F8" s="7">
        <v>0</v>
      </c>
      <c r="G8" s="7"/>
      <c r="H8" s="7" t="s">
        <v>2</v>
      </c>
      <c r="I8" s="9" t="str">
        <f>DEC2HEX(INT(C5/16),1)</f>
        <v>1</v>
      </c>
      <c r="J8" s="75" t="s">
        <v>11</v>
      </c>
    </row>
    <row r="9" spans="1:10">
      <c r="A9" s="7">
        <v>3</v>
      </c>
      <c r="B9" s="8" t="s">
        <v>10</v>
      </c>
      <c r="C9" s="7">
        <v>1</v>
      </c>
      <c r="D9" s="7">
        <f t="shared" si="1"/>
        <v>3</v>
      </c>
      <c r="E9" s="7">
        <f t="shared" si="0"/>
        <v>3</v>
      </c>
      <c r="F9" s="7">
        <v>8</v>
      </c>
      <c r="G9" s="7"/>
      <c r="H9" s="7" t="s">
        <v>2</v>
      </c>
      <c r="I9" s="9" t="str">
        <f>DEC2HEX(MOD(C5,16),1)</f>
        <v>2</v>
      </c>
      <c r="J9" s="76"/>
    </row>
    <row r="10" spans="1:10">
      <c r="A10" s="7">
        <v>4</v>
      </c>
      <c r="B10" s="8" t="s">
        <v>9</v>
      </c>
      <c r="C10" s="7">
        <v>1</v>
      </c>
      <c r="D10" s="7">
        <f t="shared" si="1"/>
        <v>4</v>
      </c>
      <c r="E10" s="7">
        <f t="shared" si="0"/>
        <v>4</v>
      </c>
      <c r="F10" s="7">
        <v>0</v>
      </c>
      <c r="G10" s="7"/>
      <c r="H10" s="7" t="s">
        <v>2</v>
      </c>
      <c r="I10" s="7">
        <v>2</v>
      </c>
      <c r="J10" s="73" t="s">
        <v>416</v>
      </c>
    </row>
    <row r="11" spans="1:10">
      <c r="A11" s="7">
        <v>5</v>
      </c>
      <c r="B11" s="8" t="s">
        <v>8</v>
      </c>
      <c r="C11" s="7">
        <v>1</v>
      </c>
      <c r="D11" s="7">
        <f t="shared" si="1"/>
        <v>5</v>
      </c>
      <c r="E11" s="7">
        <f t="shared" si="0"/>
        <v>5</v>
      </c>
      <c r="F11" s="7">
        <v>0</v>
      </c>
      <c r="G11" s="7"/>
      <c r="H11" s="7" t="s">
        <v>2</v>
      </c>
      <c r="I11" s="7">
        <v>4</v>
      </c>
      <c r="J11" s="74"/>
    </row>
    <row r="12" spans="1:10">
      <c r="A12" s="7">
        <v>6</v>
      </c>
      <c r="B12" s="8" t="s">
        <v>7</v>
      </c>
      <c r="C12" s="7">
        <v>1</v>
      </c>
      <c r="D12" s="7">
        <f t="shared" si="1"/>
        <v>6</v>
      </c>
      <c r="E12" s="7">
        <f t="shared" si="0"/>
        <v>6</v>
      </c>
      <c r="F12" s="7">
        <v>0</v>
      </c>
      <c r="G12" s="7"/>
      <c r="H12" s="7" t="s">
        <v>2</v>
      </c>
      <c r="I12" s="7" t="s">
        <v>69</v>
      </c>
      <c r="J12" s="75" t="s">
        <v>6</v>
      </c>
    </row>
    <row r="13" spans="1:10" ht="14.25" customHeight="1">
      <c r="A13" s="7">
        <v>7</v>
      </c>
      <c r="B13" s="8" t="s">
        <v>5</v>
      </c>
      <c r="C13" s="7">
        <v>1</v>
      </c>
      <c r="D13" s="7">
        <f t="shared" si="1"/>
        <v>7</v>
      </c>
      <c r="E13" s="7">
        <f t="shared" si="0"/>
        <v>7</v>
      </c>
      <c r="F13" s="7">
        <v>0</v>
      </c>
      <c r="G13" s="7"/>
      <c r="H13" s="7" t="s">
        <v>2</v>
      </c>
      <c r="I13" s="7" t="s">
        <v>69</v>
      </c>
      <c r="J13" s="76"/>
    </row>
    <row r="14" spans="1:10" ht="14.25" customHeight="1">
      <c r="A14" s="7">
        <v>8</v>
      </c>
      <c r="B14" s="8" t="s">
        <v>349</v>
      </c>
      <c r="C14" s="7">
        <v>1</v>
      </c>
      <c r="D14" s="7">
        <f>IF(C14&gt;0,D13+1,"")</f>
        <v>8</v>
      </c>
      <c r="E14" s="7">
        <f t="shared" si="0"/>
        <v>8</v>
      </c>
      <c r="F14" s="7">
        <v>1</v>
      </c>
      <c r="G14" s="7"/>
      <c r="H14" s="7" t="s">
        <v>2</v>
      </c>
      <c r="I14" s="7">
        <v>0</v>
      </c>
      <c r="J14" s="78" t="s">
        <v>406</v>
      </c>
    </row>
    <row r="15" spans="1:10" ht="14.25" customHeight="1">
      <c r="A15" s="7">
        <v>9</v>
      </c>
      <c r="B15" s="8" t="s">
        <v>350</v>
      </c>
      <c r="C15" s="7">
        <v>1</v>
      </c>
      <c r="D15" s="7">
        <f>IF(C15&gt;0,D14+1,"")</f>
        <v>9</v>
      </c>
      <c r="E15" s="7">
        <f t="shared" si="0"/>
        <v>9</v>
      </c>
      <c r="F15" s="7">
        <v>1</v>
      </c>
      <c r="G15" s="7"/>
      <c r="H15" s="7" t="s">
        <v>2</v>
      </c>
      <c r="I15" s="7">
        <v>1</v>
      </c>
      <c r="J15" s="79"/>
    </row>
    <row r="16" spans="1:10">
      <c r="A16" s="7">
        <v>10</v>
      </c>
      <c r="B16" s="8" t="s">
        <v>394</v>
      </c>
      <c r="C16" s="7">
        <v>1</v>
      </c>
      <c r="D16" s="7" t="e">
        <f>IF(C16&gt;0,#REF!+1,"")</f>
        <v>#REF!</v>
      </c>
      <c r="E16" s="7" t="e">
        <f t="shared" si="0"/>
        <v>#REF!</v>
      </c>
      <c r="F16" s="7">
        <v>0</v>
      </c>
      <c r="G16" s="7"/>
      <c r="H16" s="7" t="s">
        <v>2</v>
      </c>
      <c r="I16" s="7">
        <v>0</v>
      </c>
      <c r="J16" s="96" t="s">
        <v>400</v>
      </c>
    </row>
    <row r="17" spans="1:10">
      <c r="A17" s="7">
        <v>11</v>
      </c>
      <c r="B17" s="8" t="s">
        <v>395</v>
      </c>
      <c r="C17" s="7">
        <v>1</v>
      </c>
      <c r="D17" s="7">
        <f>IF(C17&gt;0,E14+1,"")</f>
        <v>9</v>
      </c>
      <c r="E17" s="7">
        <f t="shared" si="0"/>
        <v>9</v>
      </c>
      <c r="F17" s="7">
        <v>0</v>
      </c>
      <c r="G17" s="7"/>
      <c r="H17" s="7" t="s">
        <v>2</v>
      </c>
      <c r="I17" s="7">
        <v>0</v>
      </c>
      <c r="J17" s="96"/>
    </row>
    <row r="18" spans="1:10">
      <c r="A18" s="7">
        <v>12</v>
      </c>
      <c r="B18" s="8" t="s">
        <v>395</v>
      </c>
      <c r="C18" s="7">
        <v>1</v>
      </c>
      <c r="D18" s="7">
        <f>IF(C18&gt;0,E15+1,"")</f>
        <v>10</v>
      </c>
      <c r="E18" s="7">
        <f t="shared" si="0"/>
        <v>10</v>
      </c>
      <c r="F18" s="7">
        <v>0</v>
      </c>
      <c r="G18" s="7"/>
      <c r="H18" s="7" t="s">
        <v>2</v>
      </c>
      <c r="I18" s="7">
        <v>0</v>
      </c>
      <c r="J18" s="101"/>
    </row>
    <row r="19" spans="1:10">
      <c r="A19" s="7">
        <v>13</v>
      </c>
      <c r="B19" s="8" t="s">
        <v>396</v>
      </c>
      <c r="C19" s="7">
        <v>1</v>
      </c>
      <c r="D19" s="7">
        <f t="shared" ref="D19" si="2">IF(C19&gt;0,E18+1,"")</f>
        <v>11</v>
      </c>
      <c r="E19" s="7">
        <f t="shared" si="0"/>
        <v>11</v>
      </c>
      <c r="F19" s="7">
        <v>0</v>
      </c>
      <c r="G19" s="7"/>
      <c r="H19" s="7" t="s">
        <v>2</v>
      </c>
      <c r="I19" s="7">
        <v>0</v>
      </c>
      <c r="J19" s="76"/>
    </row>
    <row r="20" spans="1:10">
      <c r="A20" s="7">
        <v>14</v>
      </c>
      <c r="B20" s="8" t="s">
        <v>397</v>
      </c>
      <c r="C20" s="7">
        <v>1</v>
      </c>
      <c r="D20" s="7" t="e">
        <f>IF(C20&gt;0,#REF!+1,"")</f>
        <v>#REF!</v>
      </c>
      <c r="E20" s="7" t="e">
        <f>IF(C20&gt;0,D20+C20-1,"")</f>
        <v>#REF!</v>
      </c>
      <c r="F20" s="7">
        <v>0</v>
      </c>
      <c r="G20" s="7"/>
      <c r="H20" s="7" t="s">
        <v>2</v>
      </c>
      <c r="I20" s="7">
        <v>0</v>
      </c>
      <c r="J20" s="75" t="s">
        <v>401</v>
      </c>
    </row>
    <row r="21" spans="1:10">
      <c r="A21" s="7">
        <v>15</v>
      </c>
      <c r="B21" s="8" t="s">
        <v>398</v>
      </c>
      <c r="C21" s="7">
        <v>1</v>
      </c>
      <c r="D21" s="7">
        <f>IF(C21&gt;0,E14+1,"")</f>
        <v>9</v>
      </c>
      <c r="E21" s="7">
        <f>IF(C21&gt;0,D21+C21-1,"")</f>
        <v>9</v>
      </c>
      <c r="F21" s="7">
        <v>0</v>
      </c>
      <c r="G21" s="7"/>
      <c r="H21" s="7" t="s">
        <v>2</v>
      </c>
      <c r="I21" s="7">
        <v>0</v>
      </c>
      <c r="J21" s="96"/>
    </row>
    <row r="22" spans="1:10">
      <c r="A22" s="7">
        <v>16</v>
      </c>
      <c r="B22" s="8" t="s">
        <v>398</v>
      </c>
      <c r="C22" s="7">
        <v>1</v>
      </c>
      <c r="D22" s="7">
        <f>IF(C22&gt;0,E15+1,"")</f>
        <v>10</v>
      </c>
      <c r="E22" s="7">
        <f>IF(C22&gt;0,D22+C22-1,"")</f>
        <v>10</v>
      </c>
      <c r="F22" s="7">
        <v>0</v>
      </c>
      <c r="G22" s="7"/>
      <c r="H22" s="7" t="s">
        <v>2</v>
      </c>
      <c r="I22" s="7">
        <v>0</v>
      </c>
      <c r="J22" s="101"/>
    </row>
    <row r="23" spans="1:10">
      <c r="A23" s="5">
        <v>17</v>
      </c>
      <c r="B23" s="6" t="s">
        <v>399</v>
      </c>
      <c r="C23" s="5">
        <v>1</v>
      </c>
      <c r="D23" s="5">
        <f t="shared" ref="D23" si="3">IF(C23&gt;0,E22+1,"")</f>
        <v>11</v>
      </c>
      <c r="E23" s="5">
        <f>IF(C23&gt;0,D23+C23-1,"")</f>
        <v>11</v>
      </c>
      <c r="F23" s="5">
        <v>0</v>
      </c>
      <c r="G23" s="5"/>
      <c r="H23" s="5" t="s">
        <v>2</v>
      </c>
      <c r="I23" s="5">
        <v>0</v>
      </c>
      <c r="J23" s="93"/>
    </row>
    <row r="24" spans="1:10">
      <c r="A24"/>
      <c r="B24" s="25"/>
    </row>
    <row r="25" spans="1:10">
      <c r="A25" s="4" t="s">
        <v>404</v>
      </c>
    </row>
    <row r="26" spans="1:10">
      <c r="A26" s="4" t="s">
        <v>393</v>
      </c>
    </row>
    <row r="27" spans="1:10">
      <c r="A27" s="4"/>
      <c r="D27" s="1"/>
      <c r="E27" s="1"/>
      <c r="J27" s="2"/>
    </row>
    <row r="28" spans="1:10">
      <c r="A28" s="17"/>
      <c r="B28" s="18" t="s">
        <v>20</v>
      </c>
      <c r="C28" s="17" t="s">
        <v>133</v>
      </c>
      <c r="D28" s="17" t="s">
        <v>143</v>
      </c>
      <c r="E28" s="17" t="s">
        <v>144</v>
      </c>
      <c r="F28" s="17" t="s">
        <v>19</v>
      </c>
      <c r="G28" s="17" t="s">
        <v>18</v>
      </c>
      <c r="H28" s="17" t="s">
        <v>17</v>
      </c>
      <c r="I28" s="17" t="s">
        <v>141</v>
      </c>
      <c r="J28" s="17" t="s">
        <v>16</v>
      </c>
    </row>
    <row r="29" spans="1:10">
      <c r="A29" s="14"/>
      <c r="B29" s="15" t="s">
        <v>134</v>
      </c>
      <c r="C29" s="14">
        <f>SUM(C30:C47)</f>
        <v>18</v>
      </c>
      <c r="D29" s="14"/>
      <c r="E29" s="14"/>
      <c r="F29" s="14"/>
      <c r="G29" s="14"/>
      <c r="H29" s="14"/>
      <c r="I29" s="14"/>
      <c r="J29" s="13"/>
    </row>
    <row r="30" spans="1:10">
      <c r="A30" s="12">
        <v>0</v>
      </c>
      <c r="B30" s="10" t="s">
        <v>15</v>
      </c>
      <c r="C30" s="12">
        <v>1</v>
      </c>
      <c r="D30" s="12">
        <v>0</v>
      </c>
      <c r="E30" s="12">
        <f t="shared" ref="E30:E43" si="4">IF(C30&gt;0,D30+C30-1,"")</f>
        <v>0</v>
      </c>
      <c r="F30" s="12">
        <v>0</v>
      </c>
      <c r="G30" s="12"/>
      <c r="H30" s="12" t="s">
        <v>2</v>
      </c>
      <c r="I30" s="11" t="s">
        <v>14</v>
      </c>
      <c r="J30" s="10" t="s">
        <v>13</v>
      </c>
    </row>
    <row r="31" spans="1:10">
      <c r="A31" s="7">
        <v>1</v>
      </c>
      <c r="B31" s="10" t="s">
        <v>136</v>
      </c>
      <c r="C31" s="12">
        <v>1</v>
      </c>
      <c r="D31" s="12">
        <f>IF(C32&gt;0,E30+1,"")</f>
        <v>1</v>
      </c>
      <c r="E31" s="7">
        <f t="shared" si="4"/>
        <v>1</v>
      </c>
      <c r="F31" s="12">
        <v>0</v>
      </c>
      <c r="G31" s="12" t="s">
        <v>69</v>
      </c>
      <c r="H31" s="12" t="s">
        <v>2</v>
      </c>
      <c r="I31" s="11">
        <v>1</v>
      </c>
      <c r="J31" s="48" t="s">
        <v>138</v>
      </c>
    </row>
    <row r="32" spans="1:10">
      <c r="A32" s="7">
        <v>2</v>
      </c>
      <c r="B32" s="8" t="s">
        <v>12</v>
      </c>
      <c r="C32" s="7">
        <v>1</v>
      </c>
      <c r="D32" s="7">
        <f t="shared" ref="D32:D37" si="5">IF(C32&gt;0,E31+1,"")</f>
        <v>2</v>
      </c>
      <c r="E32" s="7">
        <f t="shared" si="4"/>
        <v>2</v>
      </c>
      <c r="F32" s="7">
        <v>0</v>
      </c>
      <c r="G32" s="7"/>
      <c r="H32" s="7" t="s">
        <v>2</v>
      </c>
      <c r="I32" s="9" t="str">
        <f>DEC2HEX(INT(C29/16),1)</f>
        <v>1</v>
      </c>
      <c r="J32" s="75" t="s">
        <v>11</v>
      </c>
    </row>
    <row r="33" spans="1:10">
      <c r="A33" s="7">
        <v>3</v>
      </c>
      <c r="B33" s="8" t="s">
        <v>10</v>
      </c>
      <c r="C33" s="7">
        <v>1</v>
      </c>
      <c r="D33" s="7">
        <f t="shared" si="5"/>
        <v>3</v>
      </c>
      <c r="E33" s="7">
        <f t="shared" si="4"/>
        <v>3</v>
      </c>
      <c r="F33" s="7">
        <v>8</v>
      </c>
      <c r="G33" s="7"/>
      <c r="H33" s="7" t="s">
        <v>2</v>
      </c>
      <c r="I33" s="9" t="str">
        <f>DEC2HEX(MOD(C29,16),1)</f>
        <v>2</v>
      </c>
      <c r="J33" s="76"/>
    </row>
    <row r="34" spans="1:10">
      <c r="A34" s="7">
        <v>4</v>
      </c>
      <c r="B34" s="8" t="s">
        <v>9</v>
      </c>
      <c r="C34" s="7">
        <v>1</v>
      </c>
      <c r="D34" s="7">
        <f t="shared" si="5"/>
        <v>4</v>
      </c>
      <c r="E34" s="7">
        <f t="shared" si="4"/>
        <v>4</v>
      </c>
      <c r="F34" s="7">
        <v>0</v>
      </c>
      <c r="G34" s="7"/>
      <c r="H34" s="7" t="s">
        <v>2</v>
      </c>
      <c r="I34" s="7">
        <v>2</v>
      </c>
      <c r="J34" s="73" t="s">
        <v>415</v>
      </c>
    </row>
    <row r="35" spans="1:10">
      <c r="A35" s="7">
        <v>5</v>
      </c>
      <c r="B35" s="8" t="s">
        <v>8</v>
      </c>
      <c r="C35" s="7">
        <v>1</v>
      </c>
      <c r="D35" s="7">
        <f t="shared" si="5"/>
        <v>5</v>
      </c>
      <c r="E35" s="7">
        <f t="shared" si="4"/>
        <v>5</v>
      </c>
      <c r="F35" s="7">
        <v>0</v>
      </c>
      <c r="G35" s="7"/>
      <c r="H35" s="7" t="s">
        <v>2</v>
      </c>
      <c r="I35" s="7">
        <v>5</v>
      </c>
      <c r="J35" s="74"/>
    </row>
    <row r="36" spans="1:10">
      <c r="A36" s="7">
        <v>6</v>
      </c>
      <c r="B36" s="8" t="s">
        <v>7</v>
      </c>
      <c r="C36" s="7">
        <v>1</v>
      </c>
      <c r="D36" s="7">
        <f t="shared" si="5"/>
        <v>6</v>
      </c>
      <c r="E36" s="7">
        <f t="shared" si="4"/>
        <v>6</v>
      </c>
      <c r="F36" s="7">
        <v>0</v>
      </c>
      <c r="G36" s="7"/>
      <c r="H36" s="7" t="s">
        <v>2</v>
      </c>
      <c r="I36" s="7" t="s">
        <v>69</v>
      </c>
      <c r="J36" s="75" t="s">
        <v>6</v>
      </c>
    </row>
    <row r="37" spans="1:10" ht="14.25" customHeight="1">
      <c r="A37" s="7">
        <v>7</v>
      </c>
      <c r="B37" s="8" t="s">
        <v>5</v>
      </c>
      <c r="C37" s="7">
        <v>1</v>
      </c>
      <c r="D37" s="7">
        <f t="shared" si="5"/>
        <v>7</v>
      </c>
      <c r="E37" s="7">
        <f t="shared" si="4"/>
        <v>7</v>
      </c>
      <c r="F37" s="7">
        <v>0</v>
      </c>
      <c r="G37" s="7"/>
      <c r="H37" s="7" t="s">
        <v>2</v>
      </c>
      <c r="I37" s="7" t="s">
        <v>69</v>
      </c>
      <c r="J37" s="76"/>
    </row>
    <row r="38" spans="1:10" ht="14.25" customHeight="1">
      <c r="A38" s="7">
        <v>8</v>
      </c>
      <c r="B38" s="8" t="s">
        <v>349</v>
      </c>
      <c r="C38" s="7">
        <v>1</v>
      </c>
      <c r="D38" s="7">
        <f>IF(C38&gt;0,D37+1,"")</f>
        <v>8</v>
      </c>
      <c r="E38" s="7">
        <f t="shared" si="4"/>
        <v>8</v>
      </c>
      <c r="F38" s="7">
        <v>1</v>
      </c>
      <c r="G38" s="7"/>
      <c r="H38" s="7" t="s">
        <v>2</v>
      </c>
      <c r="I38" s="7">
        <v>0</v>
      </c>
      <c r="J38" s="78" t="s">
        <v>406</v>
      </c>
    </row>
    <row r="39" spans="1:10" ht="14.25" customHeight="1">
      <c r="A39" s="7">
        <v>9</v>
      </c>
      <c r="B39" s="8" t="s">
        <v>350</v>
      </c>
      <c r="C39" s="7">
        <v>1</v>
      </c>
      <c r="D39" s="7">
        <f>IF(C39&gt;0,D38+1,"")</f>
        <v>9</v>
      </c>
      <c r="E39" s="7">
        <f t="shared" si="4"/>
        <v>9</v>
      </c>
      <c r="F39" s="7">
        <v>1</v>
      </c>
      <c r="G39" s="7"/>
      <c r="H39" s="7" t="s">
        <v>2</v>
      </c>
      <c r="I39" s="7">
        <v>1</v>
      </c>
      <c r="J39" s="79"/>
    </row>
    <row r="40" spans="1:10">
      <c r="A40" s="7">
        <v>10</v>
      </c>
      <c r="B40" s="8" t="s">
        <v>407</v>
      </c>
      <c r="C40" s="7">
        <v>1</v>
      </c>
      <c r="D40" s="7" t="e">
        <f>IF(C40&gt;0,#REF!+1,"")</f>
        <v>#REF!</v>
      </c>
      <c r="E40" s="7" t="e">
        <f t="shared" si="4"/>
        <v>#REF!</v>
      </c>
      <c r="F40" s="7">
        <v>0</v>
      </c>
      <c r="G40" s="7"/>
      <c r="H40" s="7" t="s">
        <v>2</v>
      </c>
      <c r="I40" s="7">
        <v>0</v>
      </c>
      <c r="J40" s="96" t="s">
        <v>408</v>
      </c>
    </row>
    <row r="41" spans="1:10">
      <c r="A41" s="7">
        <v>11</v>
      </c>
      <c r="B41" s="8" t="s">
        <v>408</v>
      </c>
      <c r="C41" s="7">
        <v>1</v>
      </c>
      <c r="D41" s="7">
        <f>IF(C41&gt;0,E38+1,"")</f>
        <v>9</v>
      </c>
      <c r="E41" s="7">
        <f t="shared" si="4"/>
        <v>9</v>
      </c>
      <c r="F41" s="7">
        <v>0</v>
      </c>
      <c r="G41" s="7"/>
      <c r="H41" s="7" t="s">
        <v>2</v>
      </c>
      <c r="I41" s="7">
        <v>0</v>
      </c>
      <c r="J41" s="96"/>
    </row>
    <row r="42" spans="1:10">
      <c r="A42" s="7">
        <v>12</v>
      </c>
      <c r="B42" s="8" t="s">
        <v>408</v>
      </c>
      <c r="C42" s="7">
        <v>1</v>
      </c>
      <c r="D42" s="7">
        <f>IF(C42&gt;0,E39+1,"")</f>
        <v>10</v>
      </c>
      <c r="E42" s="7">
        <f t="shared" si="4"/>
        <v>10</v>
      </c>
      <c r="F42" s="7">
        <v>0</v>
      </c>
      <c r="G42" s="7"/>
      <c r="H42" s="7" t="s">
        <v>2</v>
      </c>
      <c r="I42" s="7">
        <v>0</v>
      </c>
      <c r="J42" s="101"/>
    </row>
    <row r="43" spans="1:10">
      <c r="A43" s="7">
        <v>13</v>
      </c>
      <c r="B43" s="8" t="s">
        <v>409</v>
      </c>
      <c r="C43" s="7">
        <v>1</v>
      </c>
      <c r="D43" s="7">
        <f t="shared" ref="D43" si="6">IF(C43&gt;0,E42+1,"")</f>
        <v>11</v>
      </c>
      <c r="E43" s="7">
        <f t="shared" si="4"/>
        <v>11</v>
      </c>
      <c r="F43" s="7">
        <v>0</v>
      </c>
      <c r="G43" s="7"/>
      <c r="H43" s="7" t="s">
        <v>2</v>
      </c>
      <c r="I43" s="7">
        <v>0</v>
      </c>
      <c r="J43" s="76"/>
    </row>
    <row r="44" spans="1:10">
      <c r="A44" s="7">
        <v>14</v>
      </c>
      <c r="B44" s="8" t="s">
        <v>410</v>
      </c>
      <c r="C44" s="7">
        <v>1</v>
      </c>
      <c r="D44" s="7" t="e">
        <f>IF(C44&gt;0,#REF!+1,"")</f>
        <v>#REF!</v>
      </c>
      <c r="E44" s="7" t="e">
        <f>IF(C44&gt;0,D44+C44-1,"")</f>
        <v>#REF!</v>
      </c>
      <c r="F44" s="7">
        <v>0</v>
      </c>
      <c r="G44" s="7"/>
      <c r="H44" s="7" t="s">
        <v>2</v>
      </c>
      <c r="I44" s="7">
        <v>0</v>
      </c>
      <c r="J44" s="75" t="s">
        <v>459</v>
      </c>
    </row>
    <row r="45" spans="1:10">
      <c r="A45" s="7">
        <v>15</v>
      </c>
      <c r="B45" s="8" t="s">
        <v>411</v>
      </c>
      <c r="C45" s="7">
        <v>1</v>
      </c>
      <c r="D45" s="7">
        <f>IF(C45&gt;0,E38+1,"")</f>
        <v>9</v>
      </c>
      <c r="E45" s="7">
        <f>IF(C45&gt;0,D45+C45-1,"")</f>
        <v>9</v>
      </c>
      <c r="F45" s="7">
        <v>0</v>
      </c>
      <c r="G45" s="7"/>
      <c r="H45" s="7" t="s">
        <v>2</v>
      </c>
      <c r="I45" s="7">
        <v>0</v>
      </c>
      <c r="J45" s="96"/>
    </row>
    <row r="46" spans="1:10">
      <c r="A46" s="7">
        <v>16</v>
      </c>
      <c r="B46" s="8" t="s">
        <v>411</v>
      </c>
      <c r="C46" s="7">
        <v>1</v>
      </c>
      <c r="D46" s="7">
        <f>IF(C46&gt;0,E39+1,"")</f>
        <v>10</v>
      </c>
      <c r="E46" s="7">
        <f>IF(C46&gt;0,D46+C46-1,"")</f>
        <v>10</v>
      </c>
      <c r="F46" s="7">
        <v>0</v>
      </c>
      <c r="G46" s="7"/>
      <c r="H46" s="7" t="s">
        <v>2</v>
      </c>
      <c r="I46" s="7">
        <v>0</v>
      </c>
      <c r="J46" s="101"/>
    </row>
    <row r="47" spans="1:10">
      <c r="A47" s="5">
        <v>17</v>
      </c>
      <c r="B47" s="6" t="s">
        <v>412</v>
      </c>
      <c r="C47" s="5">
        <v>1</v>
      </c>
      <c r="D47" s="5">
        <f t="shared" ref="D47" si="7">IF(C47&gt;0,E46+1,"")</f>
        <v>11</v>
      </c>
      <c r="E47" s="5">
        <f>IF(C47&gt;0,D47+C47-1,"")</f>
        <v>11</v>
      </c>
      <c r="F47" s="5">
        <v>0</v>
      </c>
      <c r="G47" s="5"/>
      <c r="H47" s="5" t="s">
        <v>2</v>
      </c>
      <c r="I47" s="5">
        <v>0</v>
      </c>
      <c r="J47" s="93"/>
    </row>
    <row r="50" spans="1:14">
      <c r="A50" s="4" t="s">
        <v>436</v>
      </c>
    </row>
    <row r="51" spans="1:14">
      <c r="A51" s="4" t="s">
        <v>393</v>
      </c>
    </row>
    <row r="52" spans="1:14">
      <c r="A52" s="4"/>
      <c r="D52" s="1"/>
      <c r="E52" s="1"/>
      <c r="J52" s="2"/>
    </row>
    <row r="53" spans="1:14">
      <c r="A53" s="17"/>
      <c r="B53" s="18" t="s">
        <v>20</v>
      </c>
      <c r="C53" s="17" t="s">
        <v>133</v>
      </c>
      <c r="D53" s="17" t="s">
        <v>143</v>
      </c>
      <c r="E53" s="17" t="s">
        <v>144</v>
      </c>
      <c r="F53" s="17" t="s">
        <v>19</v>
      </c>
      <c r="G53" s="17" t="s">
        <v>18</v>
      </c>
      <c r="H53" s="17" t="s">
        <v>17</v>
      </c>
      <c r="I53" s="17" t="s">
        <v>141</v>
      </c>
      <c r="J53" s="17" t="s">
        <v>16</v>
      </c>
    </row>
    <row r="54" spans="1:14">
      <c r="A54" s="14"/>
      <c r="B54" s="15" t="s">
        <v>134</v>
      </c>
      <c r="C54" s="14">
        <f>SUM(C55:C68)</f>
        <v>14</v>
      </c>
      <c r="D54" s="14"/>
      <c r="E54" s="14"/>
      <c r="F54" s="14"/>
      <c r="G54" s="14"/>
      <c r="H54" s="14"/>
      <c r="I54" s="14"/>
      <c r="J54" s="13"/>
    </row>
    <row r="55" spans="1:14">
      <c r="A55" s="12">
        <v>0</v>
      </c>
      <c r="B55" s="10" t="s">
        <v>15</v>
      </c>
      <c r="C55" s="12">
        <v>1</v>
      </c>
      <c r="D55" s="12">
        <v>0</v>
      </c>
      <c r="E55" s="12">
        <f t="shared" ref="E55:E68" si="8">IF(C55&gt;0,D55+C55-1,"")</f>
        <v>0</v>
      </c>
      <c r="F55" s="12">
        <v>0</v>
      </c>
      <c r="G55" s="12"/>
      <c r="H55" s="12" t="s">
        <v>2</v>
      </c>
      <c r="I55" s="11" t="s">
        <v>14</v>
      </c>
      <c r="J55" s="10" t="s">
        <v>13</v>
      </c>
    </row>
    <row r="56" spans="1:14">
      <c r="A56" s="7">
        <v>1</v>
      </c>
      <c r="B56" s="10" t="s">
        <v>136</v>
      </c>
      <c r="C56" s="12">
        <v>1</v>
      </c>
      <c r="D56" s="12">
        <f>IF(C57&gt;0,E55+1,"")</f>
        <v>1</v>
      </c>
      <c r="E56" s="7">
        <f t="shared" si="8"/>
        <v>1</v>
      </c>
      <c r="F56" s="12">
        <v>0</v>
      </c>
      <c r="G56" s="12" t="s">
        <v>69</v>
      </c>
      <c r="H56" s="12" t="s">
        <v>2</v>
      </c>
      <c r="I56" s="11">
        <v>1</v>
      </c>
      <c r="J56" s="48" t="s">
        <v>138</v>
      </c>
    </row>
    <row r="57" spans="1:14">
      <c r="A57" s="7">
        <v>2</v>
      </c>
      <c r="B57" s="8" t="s">
        <v>12</v>
      </c>
      <c r="C57" s="7">
        <v>1</v>
      </c>
      <c r="D57" s="7">
        <f t="shared" ref="D57:D62" si="9">IF(C57&gt;0,E56+1,"")</f>
        <v>2</v>
      </c>
      <c r="E57" s="7">
        <f t="shared" si="8"/>
        <v>2</v>
      </c>
      <c r="F57" s="7">
        <v>0</v>
      </c>
      <c r="G57" s="7"/>
      <c r="H57" s="7" t="s">
        <v>2</v>
      </c>
      <c r="I57" s="9" t="str">
        <f>DEC2HEX(INT(C54/16),1)</f>
        <v>0</v>
      </c>
      <c r="J57" s="75" t="s">
        <v>11</v>
      </c>
    </row>
    <row r="58" spans="1:14">
      <c r="A58" s="7">
        <v>3</v>
      </c>
      <c r="B58" s="8" t="s">
        <v>10</v>
      </c>
      <c r="C58" s="7">
        <v>1</v>
      </c>
      <c r="D58" s="7">
        <f t="shared" si="9"/>
        <v>3</v>
      </c>
      <c r="E58" s="7">
        <f t="shared" si="8"/>
        <v>3</v>
      </c>
      <c r="F58" s="7">
        <v>8</v>
      </c>
      <c r="G58" s="7"/>
      <c r="H58" s="7" t="s">
        <v>2</v>
      </c>
      <c r="I58" s="9" t="str">
        <f>DEC2HEX(MOD(C54,16),1)</f>
        <v>E</v>
      </c>
      <c r="J58" s="76"/>
    </row>
    <row r="59" spans="1:14" s="3" customFormat="1">
      <c r="A59" s="7">
        <v>4</v>
      </c>
      <c r="B59" s="8" t="s">
        <v>9</v>
      </c>
      <c r="C59" s="7">
        <v>1</v>
      </c>
      <c r="D59" s="7">
        <f t="shared" si="9"/>
        <v>4</v>
      </c>
      <c r="E59" s="7">
        <f t="shared" si="8"/>
        <v>4</v>
      </c>
      <c r="F59" s="7">
        <v>0</v>
      </c>
      <c r="G59" s="7"/>
      <c r="H59" s="7" t="s">
        <v>2</v>
      </c>
      <c r="I59" s="7">
        <v>2</v>
      </c>
      <c r="J59" s="73" t="s">
        <v>435</v>
      </c>
      <c r="K59" s="1"/>
      <c r="L59" s="1"/>
      <c r="M59" s="1"/>
      <c r="N59" s="1"/>
    </row>
    <row r="60" spans="1:14" s="3" customFormat="1">
      <c r="A60" s="7">
        <v>5</v>
      </c>
      <c r="B60" s="8" t="s">
        <v>8</v>
      </c>
      <c r="C60" s="7">
        <v>1</v>
      </c>
      <c r="D60" s="7">
        <f t="shared" si="9"/>
        <v>5</v>
      </c>
      <c r="E60" s="7">
        <f t="shared" si="8"/>
        <v>5</v>
      </c>
      <c r="F60" s="7">
        <v>0</v>
      </c>
      <c r="G60" s="7"/>
      <c r="H60" s="7" t="s">
        <v>2</v>
      </c>
      <c r="I60" s="7">
        <v>7</v>
      </c>
      <c r="J60" s="74"/>
      <c r="K60" s="1"/>
      <c r="L60" s="1"/>
      <c r="M60" s="1"/>
      <c r="N60" s="1"/>
    </row>
    <row r="61" spans="1:14" s="3" customFormat="1">
      <c r="A61" s="7">
        <v>6</v>
      </c>
      <c r="B61" s="8" t="s">
        <v>7</v>
      </c>
      <c r="C61" s="7">
        <v>1</v>
      </c>
      <c r="D61" s="7">
        <f t="shared" si="9"/>
        <v>6</v>
      </c>
      <c r="E61" s="7">
        <f t="shared" si="8"/>
        <v>6</v>
      </c>
      <c r="F61" s="7">
        <v>0</v>
      </c>
      <c r="G61" s="7"/>
      <c r="H61" s="7" t="s">
        <v>2</v>
      </c>
      <c r="I61" s="7" t="s">
        <v>69</v>
      </c>
      <c r="J61" s="75" t="s">
        <v>6</v>
      </c>
      <c r="K61" s="1"/>
      <c r="L61" s="1"/>
      <c r="M61" s="1"/>
      <c r="N61" s="1"/>
    </row>
    <row r="62" spans="1:14" s="3" customFormat="1">
      <c r="A62" s="7">
        <v>7</v>
      </c>
      <c r="B62" s="8" t="s">
        <v>5</v>
      </c>
      <c r="C62" s="7">
        <v>1</v>
      </c>
      <c r="D62" s="7">
        <f t="shared" si="9"/>
        <v>7</v>
      </c>
      <c r="E62" s="7">
        <f t="shared" si="8"/>
        <v>7</v>
      </c>
      <c r="F62" s="7">
        <v>0</v>
      </c>
      <c r="G62" s="7"/>
      <c r="H62" s="7" t="s">
        <v>2</v>
      </c>
      <c r="I62" s="7" t="s">
        <v>69</v>
      </c>
      <c r="J62" s="76"/>
      <c r="K62" s="1"/>
      <c r="L62" s="1"/>
      <c r="M62" s="1"/>
      <c r="N62" s="1"/>
    </row>
    <row r="63" spans="1:14">
      <c r="A63" s="7">
        <v>8</v>
      </c>
      <c r="B63" s="8" t="s">
        <v>349</v>
      </c>
      <c r="C63" s="7">
        <v>1</v>
      </c>
      <c r="D63" s="7">
        <f>IF(C63&gt;0,D62+1,"")</f>
        <v>8</v>
      </c>
      <c r="E63" s="7">
        <f t="shared" si="8"/>
        <v>8</v>
      </c>
      <c r="F63" s="7">
        <v>1</v>
      </c>
      <c r="G63" s="7"/>
      <c r="H63" s="7" t="s">
        <v>2</v>
      </c>
      <c r="I63" s="7">
        <v>0</v>
      </c>
      <c r="J63" s="78" t="s">
        <v>406</v>
      </c>
    </row>
    <row r="64" spans="1:14">
      <c r="A64" s="7">
        <v>9</v>
      </c>
      <c r="B64" s="8" t="s">
        <v>350</v>
      </c>
      <c r="C64" s="7">
        <v>1</v>
      </c>
      <c r="D64" s="7">
        <f>IF(C64&gt;0,D63+1,"")</f>
        <v>9</v>
      </c>
      <c r="E64" s="7">
        <f t="shared" si="8"/>
        <v>9</v>
      </c>
      <c r="F64" s="7">
        <v>1</v>
      </c>
      <c r="G64" s="7"/>
      <c r="H64" s="7" t="s">
        <v>2</v>
      </c>
      <c r="I64" s="7">
        <v>1</v>
      </c>
      <c r="J64" s="79"/>
    </row>
    <row r="65" spans="1:10">
      <c r="A65" s="7">
        <v>10</v>
      </c>
      <c r="B65" s="8" t="s">
        <v>431</v>
      </c>
      <c r="C65" s="7">
        <v>1</v>
      </c>
      <c r="D65" s="7" t="e">
        <f>IF(C65&gt;0,#REF!+1,"")</f>
        <v>#REF!</v>
      </c>
      <c r="E65" s="7" t="e">
        <f t="shared" si="8"/>
        <v>#REF!</v>
      </c>
      <c r="F65" s="7">
        <v>0</v>
      </c>
      <c r="G65" s="7"/>
      <c r="H65" s="7" t="s">
        <v>2</v>
      </c>
      <c r="I65" s="7">
        <v>0</v>
      </c>
      <c r="J65" s="75" t="s">
        <v>434</v>
      </c>
    </row>
    <row r="66" spans="1:10">
      <c r="A66" s="7">
        <v>11</v>
      </c>
      <c r="B66" s="8" t="s">
        <v>432</v>
      </c>
      <c r="C66" s="7">
        <v>1</v>
      </c>
      <c r="D66" s="7">
        <f>IF(C66&gt;0,E63+1,"")</f>
        <v>9</v>
      </c>
      <c r="E66" s="7">
        <f t="shared" si="8"/>
        <v>9</v>
      </c>
      <c r="F66" s="7">
        <v>0</v>
      </c>
      <c r="G66" s="7"/>
      <c r="H66" s="7" t="s">
        <v>2</v>
      </c>
      <c r="I66" s="7">
        <v>0</v>
      </c>
      <c r="J66" s="96"/>
    </row>
    <row r="67" spans="1:10">
      <c r="A67" s="7">
        <v>12</v>
      </c>
      <c r="B67" s="8" t="s">
        <v>432</v>
      </c>
      <c r="C67" s="7">
        <v>1</v>
      </c>
      <c r="D67" s="7">
        <f>IF(C67&gt;0,E64+1,"")</f>
        <v>10</v>
      </c>
      <c r="E67" s="7">
        <f t="shared" si="8"/>
        <v>10</v>
      </c>
      <c r="F67" s="7">
        <v>0</v>
      </c>
      <c r="G67" s="7"/>
      <c r="H67" s="7" t="s">
        <v>2</v>
      </c>
      <c r="I67" s="7">
        <v>0</v>
      </c>
      <c r="J67" s="101"/>
    </row>
    <row r="68" spans="1:10">
      <c r="A68" s="5">
        <v>13</v>
      </c>
      <c r="B68" s="6" t="s">
        <v>433</v>
      </c>
      <c r="C68" s="5">
        <v>1</v>
      </c>
      <c r="D68" s="5">
        <f t="shared" ref="D68" si="10">IF(C68&gt;0,E67+1,"")</f>
        <v>11</v>
      </c>
      <c r="E68" s="5">
        <f t="shared" si="8"/>
        <v>11</v>
      </c>
      <c r="F68" s="5">
        <v>0</v>
      </c>
      <c r="G68" s="5"/>
      <c r="H68" s="5" t="s">
        <v>2</v>
      </c>
      <c r="I68" s="5">
        <v>0</v>
      </c>
      <c r="J68" s="93"/>
    </row>
    <row r="70" spans="1:10">
      <c r="A70" s="4" t="s">
        <v>437</v>
      </c>
    </row>
    <row r="71" spans="1:10">
      <c r="A71" s="4" t="s">
        <v>393</v>
      </c>
    </row>
    <row r="72" spans="1:10">
      <c r="A72" s="4"/>
      <c r="D72" s="1"/>
      <c r="E72" s="1"/>
      <c r="J72" s="2"/>
    </row>
    <row r="73" spans="1:10">
      <c r="A73" s="17"/>
      <c r="B73" s="18" t="s">
        <v>20</v>
      </c>
      <c r="C73" s="17" t="s">
        <v>133</v>
      </c>
      <c r="D73" s="17" t="s">
        <v>143</v>
      </c>
      <c r="E73" s="17" t="s">
        <v>144</v>
      </c>
      <c r="F73" s="17" t="s">
        <v>19</v>
      </c>
      <c r="G73" s="17" t="s">
        <v>18</v>
      </c>
      <c r="H73" s="17" t="s">
        <v>17</v>
      </c>
      <c r="I73" s="17" t="s">
        <v>141</v>
      </c>
      <c r="J73" s="17" t="s">
        <v>16</v>
      </c>
    </row>
    <row r="74" spans="1:10">
      <c r="A74" s="14"/>
      <c r="B74" s="15" t="s">
        <v>134</v>
      </c>
      <c r="C74" s="14">
        <f>SUM(C75:C88)</f>
        <v>14</v>
      </c>
      <c r="D74" s="14"/>
      <c r="E74" s="14"/>
      <c r="F74" s="14"/>
      <c r="G74" s="14"/>
      <c r="H74" s="14"/>
      <c r="I74" s="14"/>
      <c r="J74" s="13"/>
    </row>
    <row r="75" spans="1:10">
      <c r="A75" s="12">
        <v>0</v>
      </c>
      <c r="B75" s="10" t="s">
        <v>15</v>
      </c>
      <c r="C75" s="12">
        <v>1</v>
      </c>
      <c r="D75" s="12">
        <v>0</v>
      </c>
      <c r="E75" s="12">
        <f t="shared" ref="E75:E88" si="11">IF(C75&gt;0,D75+C75-1,"")</f>
        <v>0</v>
      </c>
      <c r="F75" s="12">
        <v>0</v>
      </c>
      <c r="G75" s="12"/>
      <c r="H75" s="12" t="s">
        <v>2</v>
      </c>
      <c r="I75" s="11" t="s">
        <v>14</v>
      </c>
      <c r="J75" s="10" t="s">
        <v>13</v>
      </c>
    </row>
    <row r="76" spans="1:10">
      <c r="A76" s="7">
        <v>1</v>
      </c>
      <c r="B76" s="10" t="s">
        <v>136</v>
      </c>
      <c r="C76" s="12">
        <v>1</v>
      </c>
      <c r="D76" s="12">
        <f>IF(C77&gt;0,E75+1,"")</f>
        <v>1</v>
      </c>
      <c r="E76" s="7">
        <f t="shared" si="11"/>
        <v>1</v>
      </c>
      <c r="F76" s="12">
        <v>0</v>
      </c>
      <c r="G76" s="12" t="s">
        <v>69</v>
      </c>
      <c r="H76" s="12" t="s">
        <v>2</v>
      </c>
      <c r="I76" s="11">
        <v>1</v>
      </c>
      <c r="J76" s="48" t="s">
        <v>138</v>
      </c>
    </row>
    <row r="77" spans="1:10">
      <c r="A77" s="7">
        <v>2</v>
      </c>
      <c r="B77" s="8" t="s">
        <v>12</v>
      </c>
      <c r="C77" s="7">
        <v>1</v>
      </c>
      <c r="D77" s="7">
        <f t="shared" ref="D77:D82" si="12">IF(C77&gt;0,E76+1,"")</f>
        <v>2</v>
      </c>
      <c r="E77" s="7">
        <f t="shared" si="11"/>
        <v>2</v>
      </c>
      <c r="F77" s="7">
        <v>0</v>
      </c>
      <c r="G77" s="7"/>
      <c r="H77" s="7" t="s">
        <v>2</v>
      </c>
      <c r="I77" s="9" t="str">
        <f>DEC2HEX(INT(C74/16),1)</f>
        <v>0</v>
      </c>
      <c r="J77" s="75" t="s">
        <v>11</v>
      </c>
    </row>
    <row r="78" spans="1:10">
      <c r="A78" s="7">
        <v>3</v>
      </c>
      <c r="B78" s="8" t="s">
        <v>10</v>
      </c>
      <c r="C78" s="7">
        <v>1</v>
      </c>
      <c r="D78" s="7">
        <f t="shared" si="12"/>
        <v>3</v>
      </c>
      <c r="E78" s="7">
        <f t="shared" si="11"/>
        <v>3</v>
      </c>
      <c r="F78" s="7">
        <v>8</v>
      </c>
      <c r="G78" s="7"/>
      <c r="H78" s="7" t="s">
        <v>2</v>
      </c>
      <c r="I78" s="9" t="str">
        <f>DEC2HEX(MOD(C74,16),1)</f>
        <v>E</v>
      </c>
      <c r="J78" s="76"/>
    </row>
    <row r="79" spans="1:10">
      <c r="A79" s="7">
        <v>4</v>
      </c>
      <c r="B79" s="8" t="s">
        <v>9</v>
      </c>
      <c r="C79" s="7">
        <v>1</v>
      </c>
      <c r="D79" s="7">
        <f t="shared" si="12"/>
        <v>4</v>
      </c>
      <c r="E79" s="7">
        <f t="shared" si="11"/>
        <v>4</v>
      </c>
      <c r="F79" s="7">
        <v>0</v>
      </c>
      <c r="G79" s="7"/>
      <c r="H79" s="7" t="s">
        <v>2</v>
      </c>
      <c r="I79" s="7">
        <v>2</v>
      </c>
      <c r="J79" s="73" t="s">
        <v>438</v>
      </c>
    </row>
    <row r="80" spans="1:10">
      <c r="A80" s="7">
        <v>5</v>
      </c>
      <c r="B80" s="8" t="s">
        <v>8</v>
      </c>
      <c r="C80" s="7">
        <v>1</v>
      </c>
      <c r="D80" s="7">
        <f t="shared" si="12"/>
        <v>5</v>
      </c>
      <c r="E80" s="7">
        <f t="shared" si="11"/>
        <v>5</v>
      </c>
      <c r="F80" s="7">
        <v>0</v>
      </c>
      <c r="G80" s="7"/>
      <c r="H80" s="7" t="s">
        <v>2</v>
      </c>
      <c r="I80" s="7">
        <v>8</v>
      </c>
      <c r="J80" s="74"/>
    </row>
    <row r="81" spans="1:10">
      <c r="A81" s="7">
        <v>6</v>
      </c>
      <c r="B81" s="8" t="s">
        <v>7</v>
      </c>
      <c r="C81" s="7">
        <v>1</v>
      </c>
      <c r="D81" s="7">
        <f t="shared" si="12"/>
        <v>6</v>
      </c>
      <c r="E81" s="7">
        <f t="shared" si="11"/>
        <v>6</v>
      </c>
      <c r="F81" s="7">
        <v>0</v>
      </c>
      <c r="G81" s="7"/>
      <c r="H81" s="7" t="s">
        <v>2</v>
      </c>
      <c r="I81" s="7" t="s">
        <v>69</v>
      </c>
      <c r="J81" s="75" t="s">
        <v>6</v>
      </c>
    </row>
    <row r="82" spans="1:10">
      <c r="A82" s="7">
        <v>7</v>
      </c>
      <c r="B82" s="8" t="s">
        <v>5</v>
      </c>
      <c r="C82" s="7">
        <v>1</v>
      </c>
      <c r="D82" s="7">
        <f t="shared" si="12"/>
        <v>7</v>
      </c>
      <c r="E82" s="7">
        <f t="shared" si="11"/>
        <v>7</v>
      </c>
      <c r="F82" s="7">
        <v>0</v>
      </c>
      <c r="G82" s="7"/>
      <c r="H82" s="7" t="s">
        <v>2</v>
      </c>
      <c r="I82" s="7" t="s">
        <v>69</v>
      </c>
      <c r="J82" s="76"/>
    </row>
    <row r="83" spans="1:10">
      <c r="A83" s="7">
        <v>8</v>
      </c>
      <c r="B83" s="8" t="s">
        <v>349</v>
      </c>
      <c r="C83" s="7">
        <v>1</v>
      </c>
      <c r="D83" s="7">
        <f>IF(C83&gt;0,D82+1,"")</f>
        <v>8</v>
      </c>
      <c r="E83" s="7">
        <f t="shared" si="11"/>
        <v>8</v>
      </c>
      <c r="F83" s="7">
        <v>1</v>
      </c>
      <c r="G83" s="7"/>
      <c r="H83" s="7" t="s">
        <v>2</v>
      </c>
      <c r="I83" s="7">
        <v>0</v>
      </c>
      <c r="J83" s="78" t="s">
        <v>406</v>
      </c>
    </row>
    <row r="84" spans="1:10">
      <c r="A84" s="7">
        <v>9</v>
      </c>
      <c r="B84" s="8" t="s">
        <v>350</v>
      </c>
      <c r="C84" s="7">
        <v>1</v>
      </c>
      <c r="D84" s="7">
        <f>IF(C84&gt;0,D83+1,"")</f>
        <v>9</v>
      </c>
      <c r="E84" s="7">
        <f t="shared" si="11"/>
        <v>9</v>
      </c>
      <c r="F84" s="7">
        <v>1</v>
      </c>
      <c r="G84" s="7"/>
      <c r="H84" s="7" t="s">
        <v>2</v>
      </c>
      <c r="I84" s="7">
        <v>1</v>
      </c>
      <c r="J84" s="79"/>
    </row>
    <row r="85" spans="1:10">
      <c r="A85" s="7">
        <v>10</v>
      </c>
      <c r="B85" s="8" t="s">
        <v>439</v>
      </c>
      <c r="C85" s="7">
        <v>1</v>
      </c>
      <c r="D85" s="7" t="e">
        <f>IF(C85&gt;0,#REF!+1,"")</f>
        <v>#REF!</v>
      </c>
      <c r="E85" s="7" t="e">
        <f t="shared" si="11"/>
        <v>#REF!</v>
      </c>
      <c r="F85" s="7">
        <v>0</v>
      </c>
      <c r="G85" s="7"/>
      <c r="H85" s="7" t="s">
        <v>2</v>
      </c>
      <c r="I85" s="7">
        <v>0</v>
      </c>
      <c r="J85" s="75" t="s">
        <v>440</v>
      </c>
    </row>
    <row r="86" spans="1:10">
      <c r="A86" s="7">
        <v>11</v>
      </c>
      <c r="B86" s="8" t="s">
        <v>441</v>
      </c>
      <c r="C86" s="7">
        <v>1</v>
      </c>
      <c r="D86" s="7">
        <f>IF(C86&gt;0,E83+1,"")</f>
        <v>9</v>
      </c>
      <c r="E86" s="7">
        <f t="shared" si="11"/>
        <v>9</v>
      </c>
      <c r="F86" s="7">
        <v>0</v>
      </c>
      <c r="G86" s="7"/>
      <c r="H86" s="7" t="s">
        <v>2</v>
      </c>
      <c r="I86" s="7">
        <v>0</v>
      </c>
      <c r="J86" s="96"/>
    </row>
    <row r="87" spans="1:10">
      <c r="A87" s="7">
        <v>12</v>
      </c>
      <c r="B87" s="8" t="s">
        <v>441</v>
      </c>
      <c r="C87" s="7">
        <v>1</v>
      </c>
      <c r="D87" s="7">
        <f>IF(C87&gt;0,E84+1,"")</f>
        <v>10</v>
      </c>
      <c r="E87" s="7">
        <f t="shared" si="11"/>
        <v>10</v>
      </c>
      <c r="F87" s="7">
        <v>0</v>
      </c>
      <c r="G87" s="7"/>
      <c r="H87" s="7" t="s">
        <v>2</v>
      </c>
      <c r="I87" s="7">
        <v>0</v>
      </c>
      <c r="J87" s="101"/>
    </row>
    <row r="88" spans="1:10">
      <c r="A88" s="5">
        <v>13</v>
      </c>
      <c r="B88" s="6" t="s">
        <v>442</v>
      </c>
      <c r="C88" s="5">
        <v>1</v>
      </c>
      <c r="D88" s="5">
        <f t="shared" ref="D88" si="13">IF(C88&gt;0,E87+1,"")</f>
        <v>11</v>
      </c>
      <c r="E88" s="5">
        <f t="shared" si="11"/>
        <v>11</v>
      </c>
      <c r="F88" s="5">
        <v>0</v>
      </c>
      <c r="G88" s="5"/>
      <c r="H88" s="5" t="s">
        <v>2</v>
      </c>
      <c r="I88" s="5">
        <v>0</v>
      </c>
      <c r="J88" s="93"/>
    </row>
  </sheetData>
  <sheetProtection selectLockedCells="1"/>
  <mergeCells count="22">
    <mergeCell ref="J85:J88"/>
    <mergeCell ref="J77:J78"/>
    <mergeCell ref="J79:J80"/>
    <mergeCell ref="J81:J82"/>
    <mergeCell ref="J83:J84"/>
    <mergeCell ref="J57:J58"/>
    <mergeCell ref="J59:J60"/>
    <mergeCell ref="J61:J62"/>
    <mergeCell ref="J63:J64"/>
    <mergeCell ref="J65:J68"/>
    <mergeCell ref="J44:J47"/>
    <mergeCell ref="J32:J33"/>
    <mergeCell ref="J34:J35"/>
    <mergeCell ref="J36:J37"/>
    <mergeCell ref="J38:J39"/>
    <mergeCell ref="J40:J43"/>
    <mergeCell ref="J20:J23"/>
    <mergeCell ref="J8:J9"/>
    <mergeCell ref="J10:J11"/>
    <mergeCell ref="J12:J13"/>
    <mergeCell ref="J14:J15"/>
    <mergeCell ref="J16:J19"/>
  </mergeCells>
  <pageMargins left="0.7" right="0.7" top="0.75" bottom="0.75" header="0.3" footer="0.3"/>
  <pageSetup orientation="portrait" horizontalDpi="300" verticalDpi="300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3663B-566D-43D0-9D20-E945C203040A}">
  <sheetPr codeName="Sheet1"/>
  <dimension ref="A1:O40"/>
  <sheetViews>
    <sheetView topLeftCell="E1" zoomScale="85" zoomScaleNormal="85" workbookViewId="0">
      <selection activeCell="M1" sqref="M1"/>
    </sheetView>
  </sheetViews>
  <sheetFormatPr defaultRowHeight="15"/>
  <cols>
    <col min="12" max="12" width="17.42578125" customWidth="1"/>
    <col min="13" max="13" width="68.5703125" customWidth="1"/>
    <col min="14" max="14" width="6.85546875" style="39" customWidth="1"/>
    <col min="15" max="15" width="68.42578125" style="43" customWidth="1"/>
  </cols>
  <sheetData>
    <row r="1" spans="1:15">
      <c r="A1" t="s">
        <v>83</v>
      </c>
      <c r="L1" t="s">
        <v>118</v>
      </c>
      <c r="M1" s="20" t="s">
        <v>483</v>
      </c>
      <c r="N1" s="44" t="s">
        <v>124</v>
      </c>
      <c r="O1" s="42" t="str">
        <f>CONCATENATE(MID(M1,1,6),DEC2HEX(M2,2),MID(M1,9,200))</f>
        <v>/10C01A401</v>
      </c>
    </row>
    <row r="2" spans="1:15">
      <c r="A2" t="s">
        <v>84</v>
      </c>
      <c r="L2" t="s">
        <v>40</v>
      </c>
      <c r="M2" s="46">
        <v>164</v>
      </c>
    </row>
    <row r="3" spans="1:15">
      <c r="B3" t="s">
        <v>85</v>
      </c>
      <c r="L3" t="s">
        <v>117</v>
      </c>
      <c r="M3" s="52" t="str">
        <f>IF(LEN(M1)&lt;= 8,CONCATENATE("/", MID(M1,2,1),"0A", MID(M1,5,2),DEC2HEX(M4,2),"01"),CONCATENATE("/", MID(M1,2,1), "0C", MID(M1,5,2),DEC2HEX(M4,2),"01",MID(M1,11,2)))</f>
        <v>/10C01A401</v>
      </c>
      <c r="N3" s="44" t="s">
        <v>124</v>
      </c>
      <c r="O3" s="42" t="str">
        <f>CONCATENATE(MID(M3,1,6),DEC2HEX(M4,2), MID(M3,9,500))</f>
        <v>/10C01A401</v>
      </c>
    </row>
    <row r="4" spans="1:15">
      <c r="B4" t="s">
        <v>86</v>
      </c>
      <c r="L4" t="s">
        <v>40</v>
      </c>
      <c r="M4" s="46">
        <v>164</v>
      </c>
    </row>
    <row r="5" spans="1:15">
      <c r="B5" t="s">
        <v>87</v>
      </c>
    </row>
    <row r="6" spans="1:15">
      <c r="B6" t="s">
        <v>88</v>
      </c>
    </row>
    <row r="7" spans="1:15">
      <c r="B7" t="s">
        <v>89</v>
      </c>
      <c r="M7" t="s">
        <v>125</v>
      </c>
    </row>
    <row r="8" spans="1:15">
      <c r="B8" t="s">
        <v>90</v>
      </c>
      <c r="M8" t="s">
        <v>126</v>
      </c>
    </row>
    <row r="9" spans="1:15">
      <c r="B9" t="s">
        <v>91</v>
      </c>
      <c r="M9" t="s">
        <v>128</v>
      </c>
    </row>
    <row r="10" spans="1:15">
      <c r="B10" t="s">
        <v>92</v>
      </c>
      <c r="M10" t="s">
        <v>129</v>
      </c>
    </row>
    <row r="11" spans="1:15">
      <c r="B11" t="s">
        <v>93</v>
      </c>
      <c r="M11" s="45" t="s">
        <v>127</v>
      </c>
    </row>
    <row r="12" spans="1:15">
      <c r="B12" t="s">
        <v>94</v>
      </c>
    </row>
    <row r="13" spans="1:15">
      <c r="B13" t="s">
        <v>95</v>
      </c>
    </row>
    <row r="14" spans="1:15">
      <c r="B14" t="s">
        <v>96</v>
      </c>
    </row>
    <row r="15" spans="1:15">
      <c r="B15" t="s">
        <v>97</v>
      </c>
    </row>
    <row r="16" spans="1:15">
      <c r="B16" t="s">
        <v>98</v>
      </c>
    </row>
    <row r="17" spans="1:15">
      <c r="B17" t="s">
        <v>99</v>
      </c>
    </row>
    <row r="18" spans="1:15">
      <c r="B18" t="s">
        <v>100</v>
      </c>
    </row>
    <row r="19" spans="1:15">
      <c r="A19" t="s">
        <v>101</v>
      </c>
      <c r="M19" t="s">
        <v>123</v>
      </c>
      <c r="O19" s="43" t="s">
        <v>122</v>
      </c>
    </row>
    <row r="20" spans="1:15">
      <c r="A20" t="s">
        <v>102</v>
      </c>
      <c r="M20" t="s">
        <v>119</v>
      </c>
      <c r="O20" s="43" t="s">
        <v>120</v>
      </c>
    </row>
    <row r="21" spans="1:15">
      <c r="A21" t="s">
        <v>103</v>
      </c>
    </row>
    <row r="22" spans="1:15">
      <c r="A22" t="s">
        <v>104</v>
      </c>
    </row>
    <row r="23" spans="1:15">
      <c r="A23" t="s">
        <v>105</v>
      </c>
      <c r="B23" t="s">
        <v>106</v>
      </c>
    </row>
    <row r="24" spans="1:15">
      <c r="A24" t="s">
        <v>107</v>
      </c>
      <c r="B24" t="s">
        <v>108</v>
      </c>
    </row>
    <row r="25" spans="1:15">
      <c r="A25" t="s">
        <v>109</v>
      </c>
      <c r="B25" t="s">
        <v>110</v>
      </c>
      <c r="C25" t="s">
        <v>111</v>
      </c>
      <c r="E25" t="s">
        <v>112</v>
      </c>
    </row>
    <row r="26" spans="1:15">
      <c r="A26" t="s">
        <v>113</v>
      </c>
    </row>
    <row r="27" spans="1:15">
      <c r="A27" t="s">
        <v>84</v>
      </c>
    </row>
    <row r="28" spans="1:15">
      <c r="B28" t="s">
        <v>250</v>
      </c>
    </row>
    <row r="29" spans="1:15">
      <c r="B29" t="s">
        <v>251</v>
      </c>
    </row>
    <row r="30" spans="1:15">
      <c r="B30" t="s">
        <v>114</v>
      </c>
    </row>
    <row r="31" spans="1:15">
      <c r="B31" t="s">
        <v>84</v>
      </c>
    </row>
    <row r="32" spans="1:15">
      <c r="C32" t="s">
        <v>254</v>
      </c>
    </row>
    <row r="33" spans="1:4">
      <c r="C33" t="s">
        <v>252</v>
      </c>
    </row>
    <row r="34" spans="1:4">
      <c r="C34" t="s">
        <v>249</v>
      </c>
    </row>
    <row r="35" spans="1:4">
      <c r="C35" t="s">
        <v>84</v>
      </c>
    </row>
    <row r="36" spans="1:4">
      <c r="D36" t="s">
        <v>253</v>
      </c>
    </row>
    <row r="37" spans="1:4">
      <c r="C37" t="s">
        <v>116</v>
      </c>
    </row>
    <row r="38" spans="1:4">
      <c r="B38" t="s">
        <v>116</v>
      </c>
    </row>
    <row r="39" spans="1:4">
      <c r="B39" t="s">
        <v>115</v>
      </c>
    </row>
    <row r="40" spans="1:4">
      <c r="A40" t="s">
        <v>116</v>
      </c>
    </row>
  </sheetData>
  <pageMargins left="0.7" right="0.7" top="0.75" bottom="0.75" header="0.3" footer="0.3"/>
  <pageSetup orientation="portrait" horizontalDpi="300" verticalDpi="300" copies="0" r:id="rId1"/>
  <drawing r:id="rId2"/>
  <legacyDrawing r:id="rId3"/>
  <controls>
    <mc:AlternateContent xmlns:mc="http://schemas.openxmlformats.org/markup-compatibility/2006">
      <mc:Choice Requires="x14">
        <control shapeId="6145" r:id="rId4" name="CalculateCRC">
          <controlPr defaultSize="0" autoLine="0" r:id="rId5">
            <anchor moveWithCells="1">
              <from>
                <xdr:col>12</xdr:col>
                <xdr:colOff>38100</xdr:colOff>
                <xdr:row>11</xdr:row>
                <xdr:rowOff>38100</xdr:rowOff>
              </from>
              <to>
                <xdr:col>12</xdr:col>
                <xdr:colOff>1847850</xdr:colOff>
                <xdr:row>13</xdr:row>
                <xdr:rowOff>180975</xdr:rowOff>
              </to>
            </anchor>
          </controlPr>
        </control>
      </mc:Choice>
      <mc:Fallback>
        <control shapeId="6145" r:id="rId4" name="CalculateCRC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Revisions</vt:lpstr>
      <vt:lpstr>UART Protocol CM</vt:lpstr>
      <vt:lpstr>Command codes</vt:lpstr>
      <vt:lpstr>Return codes</vt:lpstr>
      <vt:lpstr>UART Command example CM</vt:lpstr>
      <vt:lpstr>UART LED example</vt:lpstr>
      <vt:lpstr>UART Recipe example CM</vt:lpstr>
      <vt:lpstr>UART GetMachineParameters</vt:lpstr>
      <vt:lpstr>UART SetMachineParameters</vt:lpstr>
      <vt:lpstr>UART OTA example</vt:lpstr>
      <vt:lpstr>UART Get partition info</vt:lpstr>
      <vt:lpstr>Bootloader</vt:lpstr>
      <vt:lpstr>CRC 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Rene</cp:lastModifiedBy>
  <dcterms:created xsi:type="dcterms:W3CDTF">2022-04-30T02:10:47Z</dcterms:created>
  <dcterms:modified xsi:type="dcterms:W3CDTF">2023-02-15T15:38:26Z</dcterms:modified>
</cp:coreProperties>
</file>